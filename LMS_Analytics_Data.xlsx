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48" firstSheet="2" activeTab="7"/>
  </bookViews>
  <sheets>
    <sheet name="Students" sheetId="1" r:id="rId1"/>
    <sheet name="Courses" sheetId="2" r:id="rId2"/>
    <sheet name="Sheet8" sheetId="9" r:id="rId3"/>
    <sheet name="Enrollments" sheetId="3" r:id="rId4"/>
    <sheet name="Sheet7" sheetId="8" r:id="rId5"/>
    <sheet name="Sheet9" sheetId="10" r:id="rId6"/>
    <sheet name="Performance" sheetId="4" r:id="rId7"/>
    <sheet name="Dashboard" sheetId="5" r:id="rId8"/>
  </sheets>
  <calcPr calcId="162913"/>
  <pivotCaches>
    <pivotCache cacheId="8" r:id="rId9"/>
    <pivotCache cacheId="7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5" l="1"/>
  <c r="B9" i="5"/>
  <c r="B8" i="5"/>
  <c r="B6" i="5"/>
  <c r="B5" i="5"/>
  <c r="B7" i="5" s="1"/>
  <c r="B4" i="5"/>
  <c r="B3" i="5"/>
</calcChain>
</file>

<file path=xl/sharedStrings.xml><?xml version="1.0" encoding="utf-8"?>
<sst xmlns="http://schemas.openxmlformats.org/spreadsheetml/2006/main" count="456" uniqueCount="189">
  <si>
    <t>Student_ID</t>
  </si>
  <si>
    <t>Student_Name</t>
  </si>
  <si>
    <t>Gender</t>
  </si>
  <si>
    <t>Age</t>
  </si>
  <si>
    <t>Region</t>
  </si>
  <si>
    <t>Enrollment_Date</t>
  </si>
  <si>
    <t>ST001</t>
  </si>
  <si>
    <t>Ahmed Ali</t>
  </si>
  <si>
    <t>Male</t>
  </si>
  <si>
    <t>Jeddah</t>
  </si>
  <si>
    <t>ST002</t>
  </si>
  <si>
    <t>Sara Omar</t>
  </si>
  <si>
    <t>Female</t>
  </si>
  <si>
    <t>Riyadh</t>
  </si>
  <si>
    <t>ST003</t>
  </si>
  <si>
    <t>Omar Hassan</t>
  </si>
  <si>
    <t>Dammam</t>
  </si>
  <si>
    <t>ST004</t>
  </si>
  <si>
    <t>Lina Khaled</t>
  </si>
  <si>
    <t>ST005</t>
  </si>
  <si>
    <t>Yousef Ahmed</t>
  </si>
  <si>
    <t>Makkah</t>
  </si>
  <si>
    <t>ST006</t>
  </si>
  <si>
    <t>Nour Ali</t>
  </si>
  <si>
    <t>ST007</t>
  </si>
  <si>
    <t>Khaled Salem</t>
  </si>
  <si>
    <t>ST008</t>
  </si>
  <si>
    <t>Maya Hassan</t>
  </si>
  <si>
    <t>ST009</t>
  </si>
  <si>
    <t>Adam Nasser</t>
  </si>
  <si>
    <t>Madinah</t>
  </si>
  <si>
    <t>ST010</t>
  </si>
  <si>
    <t>Reem Saad</t>
  </si>
  <si>
    <t>ST011</t>
  </si>
  <si>
    <t>Faisal Omar</t>
  </si>
  <si>
    <t>ST012</t>
  </si>
  <si>
    <t>Hala Ahmed</t>
  </si>
  <si>
    <t>ST013</t>
  </si>
  <si>
    <t>Sami Khaled</t>
  </si>
  <si>
    <t>ST014</t>
  </si>
  <si>
    <t>Leen Nasser</t>
  </si>
  <si>
    <t>ST015</t>
  </si>
  <si>
    <t>Mohammed Ali</t>
  </si>
  <si>
    <t>ST016</t>
  </si>
  <si>
    <t>Dana Omar</t>
  </si>
  <si>
    <t>ST017</t>
  </si>
  <si>
    <t>Tariq Hassan</t>
  </si>
  <si>
    <t>ST018</t>
  </si>
  <si>
    <t>Rana Salem</t>
  </si>
  <si>
    <t>ST019</t>
  </si>
  <si>
    <t>Abdullah Saad</t>
  </si>
  <si>
    <t>ST020</t>
  </si>
  <si>
    <t>Jana Khaled</t>
  </si>
  <si>
    <t>Course_ID</t>
  </si>
  <si>
    <t>Course_Name</t>
  </si>
  <si>
    <t>Category</t>
  </si>
  <si>
    <t>Instructor</t>
  </si>
  <si>
    <t>Course_Duration</t>
  </si>
  <si>
    <t>C001</t>
  </si>
  <si>
    <t>Python Basics</t>
  </si>
  <si>
    <t>Programming</t>
  </si>
  <si>
    <t>Ahmed Hassan</t>
  </si>
  <si>
    <t>C002</t>
  </si>
  <si>
    <t>Advanced Excel</t>
  </si>
  <si>
    <t>Data Analysis</t>
  </si>
  <si>
    <t>Sara Ali</t>
  </si>
  <si>
    <t>C003</t>
  </si>
  <si>
    <t>SQL Fundamentals</t>
  </si>
  <si>
    <t>Database</t>
  </si>
  <si>
    <t>Omar Khaled</t>
  </si>
  <si>
    <t>C004</t>
  </si>
  <si>
    <t>Power BI Essentials</t>
  </si>
  <si>
    <t>Business Intelligence</t>
  </si>
  <si>
    <t>Lina Ahmed</t>
  </si>
  <si>
    <t>C005</t>
  </si>
  <si>
    <t>Data Visualization</t>
  </si>
  <si>
    <t>Mohammed Salem</t>
  </si>
  <si>
    <t>C006</t>
  </si>
  <si>
    <t>Web Development</t>
  </si>
  <si>
    <t>Nour Hassan</t>
  </si>
  <si>
    <t>C007</t>
  </si>
  <si>
    <t>Database Management</t>
  </si>
  <si>
    <t>C008</t>
  </si>
  <si>
    <t>Business Analytics</t>
  </si>
  <si>
    <t>Enrollment_ID</t>
  </si>
  <si>
    <t>Status</t>
  </si>
  <si>
    <t>Final_Score</t>
  </si>
  <si>
    <t>E001</t>
  </si>
  <si>
    <t>Completed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</si>
  <si>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</si>
  <si>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</si>
  <si>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</si>
  <si>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</si>
  <si>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</si>
  <si>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</si>
  <si>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</si>
  <si>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</si>
  <si>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</si>
  <si>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In Progress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</si>
  <si>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</si>
  <si>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</si>
  <si>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</si>
  <si>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</si>
  <si>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</si>
  <si>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</si>
  <si>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</si>
  <si>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</si>
  <si>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</si>
  <si>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</si>
  <si>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</si>
  <si>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</si>
  <si>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</si>
  <si>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</si>
  <si>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</si>
  <si>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</si>
  <si>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</si>
  <si>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</si>
  <si>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</si>
  <si>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</si>
  <si>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</si>
  <si>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</si>
  <si>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</si>
  <si>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</si>
  <si>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</si>
  <si>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</si>
  <si>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</si>
  <si>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</si>
  <si>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</si>
  <si>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</si>
  <si>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Performance_ID</t>
  </si>
  <si>
    <t>Attendance_Rate</t>
  </si>
  <si>
    <t>Assignment_Score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</si>
  <si>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</si>
  <si>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</si>
  <si>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</si>
  <si>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</si>
  <si>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</si>
  <si>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</si>
  <si>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</si>
  <si>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</si>
  <si>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</si>
  <si>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</si>
  <si>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</si>
  <si>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</si>
  <si>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</si>
  <si>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</si>
  <si>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</si>
  <si>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</si>
  <si>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</si>
  <si>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</si>
  <si>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</si>
  <si>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</si>
  <si>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</si>
  <si>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</si>
  <si>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</si>
  <si>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</si>
  <si>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</si>
  <si>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</si>
  <si>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</si>
  <si>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</si>
  <si>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</si>
  <si>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</si>
  <si>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</si>
  <si>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</si>
  <si>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</si>
  <si>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</si>
  <si>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</si>
  <si>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</si>
  <si>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</si>
  <si>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</si>
  <si>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</si>
  <si>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</si>
  <si>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Metric</t>
  </si>
  <si>
    <t>Value</t>
  </si>
  <si>
    <t>Total Students</t>
  </si>
  <si>
    <t>Total Enrollments</t>
  </si>
  <si>
    <t>Completion Rate</t>
  </si>
  <si>
    <t>Average Final Score</t>
  </si>
  <si>
    <t>Average Attendance</t>
  </si>
  <si>
    <t>Average Assignment Score</t>
  </si>
  <si>
    <t>Row Labels</t>
  </si>
  <si>
    <t>Grand Total</t>
  </si>
  <si>
    <t>Average of Final_Score</t>
  </si>
  <si>
    <t>Count of Enrollment_ID</t>
  </si>
  <si>
    <t>Average of Attendance_Rate</t>
  </si>
  <si>
    <t>Student Performance Dashboard</t>
  </si>
  <si>
    <t>Average Final Score by Course</t>
  </si>
  <si>
    <t>Average Attendance by Course</t>
  </si>
  <si>
    <t>Eent Completion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</si>
</sst>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rgb="FF0061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3" fillId="3" borderId="0" xfId="3" applyAlignment="1">
      <alignment horizontal="center"/>
    </xf>
    <xf numFmtId="0" fontId="4" fillId="2" borderId="0" xfId="2" applyFont="1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</cellXfs>
  <cellStyles count="4">
    <cellStyle name="Good" xfId="2" builtinId="26"/>
    <cellStyle name="Neutral" xfId="3" builtinId="28"/>
    <cellStyle name="Normal" xfId="0" builtinId="0"/>
    <cellStyle name="Percent" xfId="1" builtinId="5"/>
  </cellStyles>
  <dxfs count="7"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[LMS_Analytics_Data.xlsx]Sheet8!PivotTable3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Enrollment Completion Status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2"/>
        <c:spPr>
          <a:solidFill>
            <a:srgbClr val="00B0F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3B3-480E-8291-5DED2DD6E05D}"/>
              </c:ext>
            </c:extLst>
          </c:dPt>
          <c:cat>
            <c:strRef>
              <c:f>Sheet8!$A$4:$A$6</c:f>
              <c:strCache>
                <c:ptCount val="2"/>
                <c:pt idx="0">
                  <c:v>Completed</c:v>
                </c:pt>
                <c:pt idx="1">
                  <c:v>In Progress</c:v>
                </c:pt>
              </c:strCache>
            </c:strRef>
          </c:cat>
          <c:val>
            <c:numRef>
              <c:f>Sheet8!$B$4:$B$6</c:f>
              <c:numCache>
                <c:formatCode>General</c:formatCode>
                <c:ptCount val="2"/>
                <c:pt idx="0">
                  <c:v>30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3-480E-8291-5DED2DD6E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[LMS_Analytics_Data.xlsx]Sheet7!PivotTable2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cap="none" baseline="0"/>
              <a:t>Average Final Score by Course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layout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Sheet7!$A$4:$A$12</c:f>
              <c:strCache>
                <c:ptCount val="8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  <c:pt idx="5">
                  <c:v>C006</c:v>
                </c:pt>
                <c:pt idx="6">
                  <c:v>C007</c:v>
                </c:pt>
                <c:pt idx="7">
                  <c:v>C008</c:v>
                </c:pt>
              </c:strCache>
            </c:strRef>
          </c:cat>
          <c:val>
            <c:numRef>
              <c:f>Sheet7!$B$4:$B$12</c:f>
              <c:numCache>
                <c:formatCode>0.00</c:formatCode>
                <c:ptCount val="8"/>
                <c:pt idx="0">
                  <c:v>90</c:v>
                </c:pt>
                <c:pt idx="1">
                  <c:v>92</c:v>
                </c:pt>
                <c:pt idx="2">
                  <c:v>86.8</c:v>
                </c:pt>
                <c:pt idx="3">
                  <c:v>90.166666666666671</c:v>
                </c:pt>
                <c:pt idx="4">
                  <c:v>88.666666666666671</c:v>
                </c:pt>
                <c:pt idx="5">
                  <c:v>82.666666666666671</c:v>
                </c:pt>
                <c:pt idx="6">
                  <c:v>88</c:v>
                </c:pt>
                <c:pt idx="7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0-485D-9025-C25F036BA78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762521328"/>
        <c:axId val="1738354128"/>
      </c:barChart>
      <c:catAx>
        <c:axId val="17625213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354128"/>
        <c:crosses val="autoZero"/>
        <c:auto val="1"/>
        <c:lblAlgn val="ctr"/>
        <c:lblOffset val="100"/>
        <c:noMultiLvlLbl val="0"/>
      </c:catAx>
      <c:valAx>
        <c:axId val="17383541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52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[LMS_Analytics_Data.xlsx]Sheet9!PivotTable4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Attendance by Course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Sheet9!$A$4:$A$12</c:f>
              <c:strCache>
                <c:ptCount val="8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  <c:pt idx="5">
                  <c:v>C006</c:v>
                </c:pt>
                <c:pt idx="6">
                  <c:v>C007</c:v>
                </c:pt>
                <c:pt idx="7">
                  <c:v>C008</c:v>
                </c:pt>
              </c:strCache>
            </c:strRef>
          </c:cat>
          <c:val>
            <c:numRef>
              <c:f>Sheet9!$B$4:$B$12</c:f>
              <c:numCache>
                <c:formatCode>0.00</c:formatCode>
                <c:ptCount val="8"/>
                <c:pt idx="0">
                  <c:v>92</c:v>
                </c:pt>
                <c:pt idx="1">
                  <c:v>93.333333333333329</c:v>
                </c:pt>
                <c:pt idx="2">
                  <c:v>88.8</c:v>
                </c:pt>
                <c:pt idx="3">
                  <c:v>92.333333333333329</c:v>
                </c:pt>
                <c:pt idx="4">
                  <c:v>90.166666666666671</c:v>
                </c:pt>
                <c:pt idx="5">
                  <c:v>84.666666666666671</c:v>
                </c:pt>
                <c:pt idx="6">
                  <c:v>89.75</c:v>
                </c:pt>
                <c:pt idx="7">
                  <c:v>91.8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8-45AF-80B9-A247ECBE5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036508160"/>
        <c:axId val="2036506496"/>
      </c:barChart>
      <c:catAx>
        <c:axId val="20365081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506496"/>
        <c:crosses val="autoZero"/>
        <c:auto val="1"/>
        <c:lblAlgn val="ctr"/>
        <c:lblOffset val="100"/>
        <c:noMultiLvlLbl val="0"/>
      </c:catAx>
      <c:valAx>
        <c:axId val="20365064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50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[LMS_Analytics_Data.xlsx]Sheet9!PivotTable4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Attendance by Course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noFill/>
          <a:ln w="9525" cap="flat" cmpd="sng" algn="ctr">
            <a:solidFill>
              <a:schemeClr val="accent4"/>
            </a:solidFill>
            <a:miter lim="800000"/>
          </a:ln>
          <a:effectLst>
            <a:glow rad="63500">
              <a:schemeClr val="accent4">
                <a:satMod val="175000"/>
                <a:alpha val="25000"/>
              </a:schemeClr>
            </a:glow>
          </a:effectLst>
        </c:spPr>
      </c:pivotFmt>
      <c:pivotFmt>
        <c:idx val="2"/>
        <c:spPr>
          <a:noFill/>
          <a:ln w="9525" cap="flat" cmpd="sng" algn="ctr">
            <a:solidFill>
              <a:schemeClr val="accent4"/>
            </a:solidFill>
            <a:miter lim="800000"/>
          </a:ln>
          <a:effectLst>
            <a:glow rad="63500">
              <a:schemeClr val="accent4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Sheet9!$A$4:$A$12</c:f>
              <c:strCache>
                <c:ptCount val="8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  <c:pt idx="5">
                  <c:v>C006</c:v>
                </c:pt>
                <c:pt idx="6">
                  <c:v>C007</c:v>
                </c:pt>
                <c:pt idx="7">
                  <c:v>C008</c:v>
                </c:pt>
              </c:strCache>
            </c:strRef>
          </c:cat>
          <c:val>
            <c:numRef>
              <c:f>Sheet9!$B$4:$B$12</c:f>
              <c:numCache>
                <c:formatCode>0.00</c:formatCode>
                <c:ptCount val="8"/>
                <c:pt idx="0">
                  <c:v>92</c:v>
                </c:pt>
                <c:pt idx="1">
                  <c:v>93.333333333333329</c:v>
                </c:pt>
                <c:pt idx="2">
                  <c:v>88.8</c:v>
                </c:pt>
                <c:pt idx="3">
                  <c:v>92.333333333333329</c:v>
                </c:pt>
                <c:pt idx="4">
                  <c:v>90.166666666666671</c:v>
                </c:pt>
                <c:pt idx="5">
                  <c:v>84.666666666666671</c:v>
                </c:pt>
                <c:pt idx="6">
                  <c:v>89.75</c:v>
                </c:pt>
                <c:pt idx="7">
                  <c:v>91.8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4-4AF9-A2DA-03D055148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036508160"/>
        <c:axId val="2036506496"/>
      </c:barChart>
      <c:catAx>
        <c:axId val="20365081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506496"/>
        <c:crosses val="autoZero"/>
        <c:auto val="1"/>
        <c:lblAlgn val="ctr"/>
        <c:lblOffset val="100"/>
        <c:noMultiLvlLbl val="0"/>
      </c:catAx>
      <c:valAx>
        <c:axId val="20365064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50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[LMS_Analytics_Data.xlsx]Sheet8!PivotTable3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Enrollment Completion Status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rgbClr val="00B0F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solidFill>
            <a:srgbClr val="00B0F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solidFill>
            <a:srgbClr val="00B0F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CC6-44C9-B4F9-1AB9277009A8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CC6-44C9-B4F9-1AB9277009A8}"/>
              </c:ext>
            </c:extLst>
          </c:dPt>
          <c:cat>
            <c:strRef>
              <c:f>Sheet8!$A$4:$A$6</c:f>
              <c:strCache>
                <c:ptCount val="2"/>
                <c:pt idx="0">
                  <c:v>Completed</c:v>
                </c:pt>
                <c:pt idx="1">
                  <c:v>In Progress</c:v>
                </c:pt>
              </c:strCache>
            </c:strRef>
          </c:cat>
          <c:val>
            <c:numRef>
              <c:f>Sheet8!$B$4:$B$6</c:f>
              <c:numCache>
                <c:formatCode>General</c:formatCode>
                <c:ptCount val="2"/>
                <c:pt idx="0">
                  <c:v>30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C6-44C9-B4F9-1AB927700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[LMS_Analytics_Data.xlsx]Sheet7!PivotTable2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cap="none" baseline="0"/>
              <a:t>Average Final Score by Course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</c:pivotFmt>
      <c:pivotFmt>
        <c:idx val="3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Sheet7!$A$4:$A$12</c:f>
              <c:strCache>
                <c:ptCount val="8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  <c:pt idx="5">
                  <c:v>C006</c:v>
                </c:pt>
                <c:pt idx="6">
                  <c:v>C007</c:v>
                </c:pt>
                <c:pt idx="7">
                  <c:v>C008</c:v>
                </c:pt>
              </c:strCache>
            </c:strRef>
          </c:cat>
          <c:val>
            <c:numRef>
              <c:f>Sheet7!$B$4:$B$12</c:f>
              <c:numCache>
                <c:formatCode>0.00</c:formatCode>
                <c:ptCount val="8"/>
                <c:pt idx="0">
                  <c:v>90</c:v>
                </c:pt>
                <c:pt idx="1">
                  <c:v>92</c:v>
                </c:pt>
                <c:pt idx="2">
                  <c:v>86.8</c:v>
                </c:pt>
                <c:pt idx="3">
                  <c:v>90.166666666666671</c:v>
                </c:pt>
                <c:pt idx="4">
                  <c:v>88.666666666666671</c:v>
                </c:pt>
                <c:pt idx="5">
                  <c:v>82.666666666666671</c:v>
                </c:pt>
                <c:pt idx="6">
                  <c:v>88</c:v>
                </c:pt>
                <c:pt idx="7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2-4D0B-BADE-0C4B77E66BB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762521328"/>
        <c:axId val="1738354128"/>
      </c:barChart>
      <c:catAx>
        <c:axId val="17625213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354128"/>
        <c:crosses val="autoZero"/>
        <c:auto val="1"/>
        <c:lblAlgn val="ctr"/>
        <c:lblOffset val="100"/>
        <c:noMultiLvlLbl val="0"/>
      </c:catAx>
      <c:valAx>
        <c:axId val="17383541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52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7</xdr:row>
      <xdr:rowOff>118110</xdr:rowOff>
    </xdr:from>
    <xdr:to>
      <xdr:col>9</xdr:col>
      <xdr:colOff>563880</xdr:colOff>
      <xdr:row>22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441960</xdr:colOff>
      <xdr:row>7</xdr:row>
      <xdr:rowOff>118110</xdr:rowOff>
    </xdr:from>
    <xdr:to>
      <xdr:col>12</xdr:col>
      <xdr:colOff>137160</xdr:colOff>
      <xdr:row>22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7</xdr:row>
      <xdr:rowOff>26670</xdr:rowOff>
    </xdr:from>
    <xdr:to>
      <xdr:col>10</xdr:col>
      <xdr:colOff>449580</xdr:colOff>
      <xdr:row>22</xdr:row>
      <xdr:rowOff>26670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110067</xdr:colOff>
      <xdr:row>15</xdr:row>
      <xdr:rowOff>89746</xdr:rowOff>
    </xdr:from>
    <xdr:to>
      <xdr:col>18</xdr:col>
      <xdr:colOff>152400</xdr:colOff>
      <xdr:row>27</xdr:row>
      <xdr:rowOff>2539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389468</xdr:colOff>
      <xdr:row>15</xdr:row>
      <xdr:rowOff>169333</xdr:rowOff>
    </xdr:from>
    <xdr:to>
      <xdr:col>11</xdr:col>
      <xdr:colOff>77894</xdr:colOff>
      <xdr:row>27</xdr:row>
      <xdr:rowOff>21166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15</xdr:row>
      <xdr:rowOff>160868</xdr:rowOff>
    </xdr:from>
    <xdr:to>
      <xdr:col>3</xdr:col>
      <xdr:colOff>279400</xdr:colOff>
      <xdr:row>26</xdr:row>
      <xdr:rowOff>177800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44.890288888892" createdVersion="6" refreshedVersion="6" minRefreshableVersion="3" recordCount="40">
  <cacheSource type="worksheet">
    <worksheetSource ref="A1:F41" sheet="Performance"/>
  </cacheSource>
  <cacheFields count="6">
    <cacheField name="Performance_ID" numFmtId="0">
      <sharedItems/>
    </cacheField>
    <cacheField name="Student_ID" numFmtId="0">
      <sharedItems/>
    </cacheField>
    <cacheField name="Course_ID" numFmtId="0">
      <sharedItems count="8">
        <s v="C001"/>
        <s v="C004"/>
        <s v="C002"/>
        <s v="C005"/>
        <s v="C003"/>
        <s v="C007"/>
        <s v="C006"/>
        <s v="C008"/>
      </sharedItems>
    </cacheField>
    <cacheField name="Attendance_Rate" numFmtId="0">
      <sharedItems containsSemiMixedTypes="0" containsString="0" containsNumber="1" containsInteger="1" minValue="79" maxValue="98"/>
    </cacheField>
    <cacheField name="Assignment_Score" numFmtId="0">
      <sharedItems containsSemiMixedTypes="0" containsString="0" containsNumber="1" containsInteger="1" minValue="74" maxValue="96"/>
    </cacheField>
    <cacheField name="Final_Score" numFmtId="0">
      <sharedItems containsSemiMixedTypes="0" containsString="0" containsNumber="1" containsInteger="1" minValue="77" maxValue="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6244.892601967593" createdVersion="6" refreshedVersion="6" minRefreshableVersion="3" recordCount="40">
  <cacheSource type="worksheet">
    <worksheetSource ref="A1:F41" sheet="Enrollments"/>
  </cacheSource>
  <cacheFields count="6">
    <cacheField name="Enrollment_ID" numFmtId="0">
      <sharedItems/>
    </cacheField>
    <cacheField name="Student_ID" numFmtId="0">
      <sharedItems/>
    </cacheField>
    <cacheField name="Course_ID" numFmtId="0">
      <sharedItems/>
    </cacheField>
    <cacheField name="Enrollment_Date" numFmtId="14">
      <sharedItems containsSemiMixedTypes="0" containsNonDate="0" containsDate="1" containsString="0" minDate="2026-01-05T00:00:00" maxDate="2026-02-27T00:00:00"/>
    </cacheField>
    <cacheField name="Status" numFmtId="0">
      <sharedItems count="2">
        <s v="Completed"/>
        <s v="In Progress"/>
      </sharedItems>
    </cacheField>
    <cacheField name="Final_Score" numFmtId="0">
      <sharedItems containsSemiMixedTypes="0" containsString="0" containsNumber="1" containsInteger="1" minValue="77" maxValue="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s v="P001"/>
    <s v="ST001"/>
    <x v="0"/>
    <n v="95"/>
    <n v="88"/>
    <n v="91"/>
  </r>
  <r>
    <s v="P002"/>
    <s v="ST001"/>
    <x v="1"/>
    <n v="88"/>
    <n v="82"/>
    <n v="85"/>
  </r>
  <r>
    <s v="P003"/>
    <s v="ST002"/>
    <x v="2"/>
    <n v="97"/>
    <n v="94"/>
    <n v="96"/>
  </r>
  <r>
    <s v="P004"/>
    <s v="ST002"/>
    <x v="3"/>
    <n v="92"/>
    <n v="89"/>
    <n v="91"/>
  </r>
  <r>
    <s v="P005"/>
    <s v="ST003"/>
    <x v="4"/>
    <n v="85"/>
    <n v="78"/>
    <n v="82"/>
  </r>
  <r>
    <s v="P006"/>
    <s v="ST003"/>
    <x v="5"/>
    <n v="90"/>
    <n v="86"/>
    <n v="88"/>
  </r>
  <r>
    <s v="P007"/>
    <s v="ST004"/>
    <x v="1"/>
    <n v="96"/>
    <n v="91"/>
    <n v="94"/>
  </r>
  <r>
    <s v="P008"/>
    <s v="ST004"/>
    <x v="2"/>
    <n v="84"/>
    <n v="80"/>
    <n v="82"/>
  </r>
  <r>
    <s v="P009"/>
    <s v="ST005"/>
    <x v="0"/>
    <n v="93"/>
    <n v="90"/>
    <n v="92"/>
  </r>
  <r>
    <s v="P010"/>
    <s v="ST005"/>
    <x v="6"/>
    <n v="81"/>
    <n v="76"/>
    <n v="79"/>
  </r>
  <r>
    <s v="P011"/>
    <s v="ST006"/>
    <x v="2"/>
    <n v="98"/>
    <n v="95"/>
    <n v="97"/>
  </r>
  <r>
    <s v="P012"/>
    <s v="ST006"/>
    <x v="7"/>
    <n v="94"/>
    <n v="91"/>
    <n v="93"/>
  </r>
  <r>
    <s v="P013"/>
    <s v="ST007"/>
    <x v="4"/>
    <n v="91"/>
    <n v="87"/>
    <n v="89"/>
  </r>
  <r>
    <s v="P014"/>
    <s v="ST007"/>
    <x v="5"/>
    <n v="86"/>
    <n v="81"/>
    <n v="84"/>
  </r>
  <r>
    <s v="P015"/>
    <s v="ST008"/>
    <x v="1"/>
    <n v="97"/>
    <n v="93"/>
    <n v="95"/>
  </r>
  <r>
    <s v="P016"/>
    <s v="ST008"/>
    <x v="3"/>
    <n v="95"/>
    <n v="92"/>
    <n v="94"/>
  </r>
  <r>
    <s v="P017"/>
    <s v="ST009"/>
    <x v="6"/>
    <n v="79"/>
    <n v="74"/>
    <n v="77"/>
  </r>
  <r>
    <s v="P018"/>
    <s v="ST009"/>
    <x v="0"/>
    <n v="88"/>
    <n v="84"/>
    <n v="86"/>
  </r>
  <r>
    <s v="P019"/>
    <s v="ST010"/>
    <x v="7"/>
    <n v="96"/>
    <n v="90"/>
    <n v="93"/>
  </r>
  <r>
    <s v="P020"/>
    <s v="ST010"/>
    <x v="3"/>
    <n v="83"/>
    <n v="79"/>
    <n v="81"/>
  </r>
  <r>
    <s v="P021"/>
    <s v="ST011"/>
    <x v="4"/>
    <n v="94"/>
    <n v="91"/>
    <n v="93"/>
  </r>
  <r>
    <s v="P022"/>
    <s v="ST011"/>
    <x v="5"/>
    <n v="96"/>
    <n v="94"/>
    <n v="95"/>
  </r>
  <r>
    <s v="P023"/>
    <s v="ST012"/>
    <x v="2"/>
    <n v="87"/>
    <n v="83"/>
    <n v="85"/>
  </r>
  <r>
    <s v="P024"/>
    <s v="ST012"/>
    <x v="1"/>
    <n v="92"/>
    <n v="88"/>
    <n v="90"/>
  </r>
  <r>
    <s v="P025"/>
    <s v="ST013"/>
    <x v="0"/>
    <n v="95"/>
    <n v="92"/>
    <n v="94"/>
  </r>
  <r>
    <s v="P026"/>
    <s v="ST013"/>
    <x v="4"/>
    <n v="82"/>
    <n v="78"/>
    <n v="80"/>
  </r>
  <r>
    <s v="P027"/>
    <s v="ST014"/>
    <x v="3"/>
    <n v="97"/>
    <n v="94"/>
    <n v="96"/>
  </r>
  <r>
    <s v="P028"/>
    <s v="ST014"/>
    <x v="7"/>
    <n v="93"/>
    <n v="89"/>
    <n v="91"/>
  </r>
  <r>
    <s v="P029"/>
    <s v="ST015"/>
    <x v="1"/>
    <n v="86"/>
    <n v="82"/>
    <n v="84"/>
  </r>
  <r>
    <s v="P030"/>
    <s v="ST015"/>
    <x v="2"/>
    <n v="98"/>
    <n v="96"/>
    <n v="97"/>
  </r>
  <r>
    <s v="P031"/>
    <s v="ST016"/>
    <x v="7"/>
    <n v="91"/>
    <n v="88"/>
    <n v="90"/>
  </r>
  <r>
    <s v="P032"/>
    <s v="ST016"/>
    <x v="3"/>
    <n v="84"/>
    <n v="80"/>
    <n v="82"/>
  </r>
  <r>
    <s v="P033"/>
    <s v="ST017"/>
    <x v="6"/>
    <n v="94"/>
    <n v="90"/>
    <n v="92"/>
  </r>
  <r>
    <s v="P034"/>
    <s v="ST017"/>
    <x v="0"/>
    <n v="89"/>
    <n v="85"/>
    <n v="87"/>
  </r>
  <r>
    <s v="P035"/>
    <s v="ST018"/>
    <x v="2"/>
    <n v="96"/>
    <n v="93"/>
    <n v="95"/>
  </r>
  <r>
    <s v="P036"/>
    <s v="ST018"/>
    <x v="7"/>
    <n v="85"/>
    <n v="81"/>
    <n v="83"/>
  </r>
  <r>
    <s v="P037"/>
    <s v="ST019"/>
    <x v="4"/>
    <n v="92"/>
    <n v="88"/>
    <n v="90"/>
  </r>
  <r>
    <s v="P038"/>
    <s v="ST019"/>
    <x v="5"/>
    <n v="87"/>
    <n v="83"/>
    <n v="85"/>
  </r>
  <r>
    <s v="P039"/>
    <s v="ST020"/>
    <x v="1"/>
    <n v="95"/>
    <n v="91"/>
    <n v="93"/>
  </r>
  <r>
    <s v="P040"/>
    <s v="ST020"/>
    <x v="3"/>
    <n v="90"/>
    <n v="86"/>
    <n v="8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0">
  <r>
    <s v="E001"/>
    <s v="ST001"/>
    <s v="C001"/>
    <d v="2026-01-05T00:00:00"/>
    <x v="0"/>
    <n v="91"/>
  </r>
  <r>
    <s v="E002"/>
    <s v="ST001"/>
    <s v="C004"/>
    <d v="2026-01-06T00:00:00"/>
    <x v="0"/>
    <n v="85"/>
  </r>
  <r>
    <s v="E003"/>
    <s v="ST002"/>
    <s v="C002"/>
    <d v="2026-01-08T00:00:00"/>
    <x v="0"/>
    <n v="96"/>
  </r>
  <r>
    <s v="E004"/>
    <s v="ST002"/>
    <s v="C005"/>
    <d v="2026-01-09T00:00:00"/>
    <x v="0"/>
    <n v="91"/>
  </r>
  <r>
    <s v="E005"/>
    <s v="ST003"/>
    <s v="C003"/>
    <d v="2026-01-10T00:00:00"/>
    <x v="0"/>
    <n v="82"/>
  </r>
  <r>
    <s v="E006"/>
    <s v="ST003"/>
    <s v="C007"/>
    <d v="2026-01-11T00:00:00"/>
    <x v="0"/>
    <n v="88"/>
  </r>
  <r>
    <s v="E007"/>
    <s v="ST004"/>
    <s v="C004"/>
    <d v="2026-01-12T00:00:00"/>
    <x v="0"/>
    <n v="94"/>
  </r>
  <r>
    <s v="E008"/>
    <s v="ST004"/>
    <s v="C002"/>
    <d v="2026-01-13T00:00:00"/>
    <x v="0"/>
    <n v="82"/>
  </r>
  <r>
    <s v="E009"/>
    <s v="ST005"/>
    <s v="C001"/>
    <d v="2026-01-15T00:00:00"/>
    <x v="0"/>
    <n v="92"/>
  </r>
  <r>
    <s v="E010"/>
    <s v="ST005"/>
    <s v="C006"/>
    <d v="2026-01-16T00:00:00"/>
    <x v="1"/>
    <n v="79"/>
  </r>
  <r>
    <s v="E011"/>
    <s v="ST006"/>
    <s v="C002"/>
    <d v="2026-01-18T00:00:00"/>
    <x v="0"/>
    <n v="97"/>
  </r>
  <r>
    <s v="E012"/>
    <s v="ST006"/>
    <s v="C008"/>
    <d v="2026-01-19T00:00:00"/>
    <x v="0"/>
    <n v="93"/>
  </r>
  <r>
    <s v="E013"/>
    <s v="ST007"/>
    <s v="C003"/>
    <d v="2026-01-20T00:00:00"/>
    <x v="0"/>
    <n v="89"/>
  </r>
  <r>
    <s v="E014"/>
    <s v="ST007"/>
    <s v="C007"/>
    <d v="2026-01-21T00:00:00"/>
    <x v="0"/>
    <n v="84"/>
  </r>
  <r>
    <s v="E015"/>
    <s v="ST008"/>
    <s v="C004"/>
    <d v="2026-01-22T00:00:00"/>
    <x v="0"/>
    <n v="95"/>
  </r>
  <r>
    <s v="E016"/>
    <s v="ST008"/>
    <s v="C005"/>
    <d v="2026-01-23T00:00:00"/>
    <x v="0"/>
    <n v="94"/>
  </r>
  <r>
    <s v="E017"/>
    <s v="ST009"/>
    <s v="C006"/>
    <d v="2026-01-25T00:00:00"/>
    <x v="1"/>
    <n v="77"/>
  </r>
  <r>
    <s v="E018"/>
    <s v="ST009"/>
    <s v="C001"/>
    <d v="2026-01-26T00:00:00"/>
    <x v="1"/>
    <n v="86"/>
  </r>
  <r>
    <s v="E019"/>
    <s v="ST010"/>
    <s v="C008"/>
    <d v="2026-01-28T00:00:00"/>
    <x v="0"/>
    <n v="93"/>
  </r>
  <r>
    <s v="E020"/>
    <s v="ST010"/>
    <s v="C005"/>
    <d v="2026-01-29T00:00:00"/>
    <x v="1"/>
    <n v="81"/>
  </r>
  <r>
    <s v="E021"/>
    <s v="ST011"/>
    <s v="C003"/>
    <d v="2026-02-02T00:00:00"/>
    <x v="0"/>
    <n v="93"/>
  </r>
  <r>
    <s v="E022"/>
    <s v="ST011"/>
    <s v="C007"/>
    <d v="2026-02-03T00:00:00"/>
    <x v="0"/>
    <n v="95"/>
  </r>
  <r>
    <s v="E023"/>
    <s v="ST012"/>
    <s v="C002"/>
    <d v="2026-02-05T00:00:00"/>
    <x v="0"/>
    <n v="85"/>
  </r>
  <r>
    <s v="E024"/>
    <s v="ST012"/>
    <s v="C004"/>
    <d v="2026-02-06T00:00:00"/>
    <x v="0"/>
    <n v="90"/>
  </r>
  <r>
    <s v="E025"/>
    <s v="ST013"/>
    <s v="C001"/>
    <d v="2026-02-08T00:00:00"/>
    <x v="0"/>
    <n v="94"/>
  </r>
  <r>
    <s v="E026"/>
    <s v="ST013"/>
    <s v="C003"/>
    <d v="2026-02-09T00:00:00"/>
    <x v="0"/>
    <n v="80"/>
  </r>
  <r>
    <s v="E027"/>
    <s v="ST014"/>
    <s v="C005"/>
    <d v="2026-02-10T00:00:00"/>
    <x v="0"/>
    <n v="96"/>
  </r>
  <r>
    <s v="E028"/>
    <s v="ST014"/>
    <s v="C008"/>
    <d v="2026-02-11T00:00:00"/>
    <x v="0"/>
    <n v="91"/>
  </r>
  <r>
    <s v="E029"/>
    <s v="ST015"/>
    <s v="C004"/>
    <d v="2026-02-13T00:00:00"/>
    <x v="1"/>
    <n v="84"/>
  </r>
  <r>
    <s v="E030"/>
    <s v="ST015"/>
    <s v="C002"/>
    <d v="2026-02-14T00:00:00"/>
    <x v="0"/>
    <n v="97"/>
  </r>
  <r>
    <s v="E031"/>
    <s v="ST016"/>
    <s v="C008"/>
    <d v="2026-02-16T00:00:00"/>
    <x v="0"/>
    <n v="90"/>
  </r>
  <r>
    <s v="E032"/>
    <s v="ST016"/>
    <s v="C005"/>
    <d v="2026-02-17T00:00:00"/>
    <x v="1"/>
    <n v="82"/>
  </r>
  <r>
    <s v="E033"/>
    <s v="ST017"/>
    <s v="C006"/>
    <d v="2026-02-18T00:00:00"/>
    <x v="1"/>
    <n v="92"/>
  </r>
  <r>
    <s v="E034"/>
    <s v="ST017"/>
    <s v="C001"/>
    <d v="2026-02-19T00:00:00"/>
    <x v="1"/>
    <n v="87"/>
  </r>
  <r>
    <s v="E035"/>
    <s v="ST018"/>
    <s v="C002"/>
    <d v="2026-02-20T00:00:00"/>
    <x v="0"/>
    <n v="95"/>
  </r>
  <r>
    <s v="E036"/>
    <s v="ST018"/>
    <s v="C008"/>
    <d v="2026-02-21T00:00:00"/>
    <x v="1"/>
    <n v="83"/>
  </r>
  <r>
    <s v="E037"/>
    <s v="ST019"/>
    <s v="C003"/>
    <d v="2026-02-23T00:00:00"/>
    <x v="0"/>
    <n v="90"/>
  </r>
  <r>
    <s v="E038"/>
    <s v="ST019"/>
    <s v="C007"/>
    <d v="2026-02-24T00:00:00"/>
    <x v="1"/>
    <n v="85"/>
  </r>
  <r>
    <s v="E039"/>
    <s v="ST020"/>
    <s v="C004"/>
    <d v="2026-02-25T00:00:00"/>
    <x v="0"/>
    <n v="93"/>
  </r>
  <r>
    <s v="E040"/>
    <s v="ST020"/>
    <s v="C005"/>
    <d v="2026-02-26T00:00:00"/>
    <x v="0"/>
    <n v="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6" firstHeaderRow="1" firstDataRow="1" firstDataCol="1"/>
  <pivotFields count="6">
    <pivotField dataField="1" showAll="0"/>
    <pivotField showAll="0"/>
    <pivotField showAll="0"/>
    <pivotField numFmtId="14" showAll="0"/>
    <pivotField axis="axisRow" showAll="0">
      <items count="3">
        <item x="0"/>
        <item x="1"/>
        <item t="default"/>
      </items>
    </pivotField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Enrollment_ID" fld="0" subtotal="count" baseField="0" baseItem="0"/>
  </dataFields>
  <chartFormats count="5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12" firstHeaderRow="1" firstDataRow="1" firstDataCol="1"/>
  <pivotFields count="6">
    <pivotField showAll="0"/>
    <pivotField showAll="0"/>
    <pivotField axis="axisRow" showAll="0">
      <items count="9">
        <item x="0"/>
        <item x="2"/>
        <item x="4"/>
        <item x="1"/>
        <item x="3"/>
        <item x="6"/>
        <item x="5"/>
        <item x="7"/>
        <item t="default"/>
      </items>
    </pivotField>
    <pivotField showAll="0"/>
    <pivotField showAll="0"/>
    <pivotField dataFiel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Final_Score" fld="5" subtotal="average" baseField="2" baseItem="0" numFmtId="2"/>
  </dataFields>
  <formats count="3">
    <format dxfId="6">
      <pivotArea dataOnly="0" labelOnly="1" outline="0" axis="axisValues" fieldPosition="0"/>
    </format>
    <format dxfId="5">
      <pivotArea dataOnly="0" labelOnly="1" outline="0" axis="axisValues" fieldPosition="0"/>
    </format>
    <format dxfId="4">
      <pivotArea outline="0" collapsedLevelsAreSubtotals="1" fieldPosition="0"/>
    </format>
  </format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12" firstHeaderRow="1" firstDataRow="1" firstDataCol="1"/>
  <pivotFields count="6">
    <pivotField showAll="0"/>
    <pivotField showAll="0"/>
    <pivotField axis="axisRow" showAll="0">
      <items count="9">
        <item x="0"/>
        <item x="2"/>
        <item x="4"/>
        <item x="1"/>
        <item x="3"/>
        <item x="6"/>
        <item x="5"/>
        <item x="7"/>
        <item t="default"/>
      </items>
    </pivotField>
    <pivotField dataField="1"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Attendance_Rate" fld="3" subtotal="average" baseField="2" baseItem="0" numFmtId="2"/>
  </dataFields>
  <formats count="1">
    <format dxfId="3">
      <pivotArea outline="0" collapsedLevelsAreSubtotals="1" fieldPosition="0"/>
    </format>
  </format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2:B10" totalsRowShown="0" headerRowDxfId="0">
  <autoFilter ref="A2:B10"/>
  <tableColumns count="2">
    <tableColumn id="1" name="Metric" dataDxfId="2"/>
    <tableColumn id="2" name="Value" data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sqref="A1:F21"/>
    </sheetView>
  </sheetViews>
  <sheetFormatPr defaultRowHeight="14.4" x14ac:dyDescent="0.3"/>
  <cols>
    <col min="6" max="6" width="26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21</v>
      </c>
      <c r="E2" t="s">
        <v>9</v>
      </c>
      <c r="F2" s="1">
        <v>46027</v>
      </c>
    </row>
    <row r="3" spans="1:6" x14ac:dyDescent="0.3">
      <c r="A3" t="s">
        <v>10</v>
      </c>
      <c r="B3" t="s">
        <v>11</v>
      </c>
      <c r="C3" t="s">
        <v>12</v>
      </c>
      <c r="D3">
        <v>23</v>
      </c>
      <c r="E3" t="s">
        <v>13</v>
      </c>
      <c r="F3" s="1">
        <v>46030</v>
      </c>
    </row>
    <row r="4" spans="1:6" x14ac:dyDescent="0.3">
      <c r="A4" t="s">
        <v>14</v>
      </c>
      <c r="B4" t="s">
        <v>15</v>
      </c>
      <c r="C4" t="s">
        <v>8</v>
      </c>
      <c r="D4">
        <v>22</v>
      </c>
      <c r="E4" t="s">
        <v>16</v>
      </c>
      <c r="F4" s="1">
        <v>46032</v>
      </c>
    </row>
    <row r="5" spans="1:6" x14ac:dyDescent="0.3">
      <c r="A5" t="s">
        <v>17</v>
      </c>
      <c r="B5" t="s">
        <v>18</v>
      </c>
      <c r="C5" t="s">
        <v>12</v>
      </c>
      <c r="D5">
        <v>20</v>
      </c>
      <c r="E5" t="s">
        <v>9</v>
      </c>
      <c r="F5" s="1">
        <v>46034</v>
      </c>
    </row>
    <row r="6" spans="1:6" x14ac:dyDescent="0.3">
      <c r="A6" t="s">
        <v>19</v>
      </c>
      <c r="B6" t="s">
        <v>20</v>
      </c>
      <c r="C6" t="s">
        <v>8</v>
      </c>
      <c r="D6">
        <v>24</v>
      </c>
      <c r="E6" t="s">
        <v>21</v>
      </c>
      <c r="F6" s="1">
        <v>46037</v>
      </c>
    </row>
    <row r="7" spans="1:6" x14ac:dyDescent="0.3">
      <c r="A7" t="s">
        <v>22</v>
      </c>
      <c r="B7" t="s">
        <v>23</v>
      </c>
      <c r="C7" t="s">
        <v>12</v>
      </c>
      <c r="D7">
        <v>21</v>
      </c>
      <c r="E7" t="s">
        <v>13</v>
      </c>
      <c r="F7" s="1">
        <v>46040</v>
      </c>
    </row>
    <row r="8" spans="1:6" x14ac:dyDescent="0.3">
      <c r="A8" t="s">
        <v>24</v>
      </c>
      <c r="B8" t="s">
        <v>25</v>
      </c>
      <c r="C8" t="s">
        <v>8</v>
      </c>
      <c r="D8">
        <v>25</v>
      </c>
      <c r="E8" t="s">
        <v>16</v>
      </c>
      <c r="F8" s="1">
        <v>46042</v>
      </c>
    </row>
    <row r="9" spans="1:6" x14ac:dyDescent="0.3">
      <c r="A9" t="s">
        <v>26</v>
      </c>
      <c r="B9" t="s">
        <v>27</v>
      </c>
      <c r="C9" t="s">
        <v>12</v>
      </c>
      <c r="D9">
        <v>22</v>
      </c>
      <c r="E9" t="s">
        <v>9</v>
      </c>
      <c r="F9" s="1">
        <v>46044</v>
      </c>
    </row>
    <row r="10" spans="1:6" x14ac:dyDescent="0.3">
      <c r="A10" t="s">
        <v>28</v>
      </c>
      <c r="B10" t="s">
        <v>29</v>
      </c>
      <c r="C10" t="s">
        <v>8</v>
      </c>
      <c r="D10">
        <v>23</v>
      </c>
      <c r="E10" t="s">
        <v>30</v>
      </c>
      <c r="F10" s="1">
        <v>46047</v>
      </c>
    </row>
    <row r="11" spans="1:6" x14ac:dyDescent="0.3">
      <c r="A11" t="s">
        <v>31</v>
      </c>
      <c r="B11" t="s">
        <v>32</v>
      </c>
      <c r="C11" t="s">
        <v>12</v>
      </c>
      <c r="D11">
        <v>20</v>
      </c>
      <c r="E11" t="s">
        <v>13</v>
      </c>
      <c r="F11" s="1">
        <v>46050</v>
      </c>
    </row>
    <row r="12" spans="1:6" x14ac:dyDescent="0.3">
      <c r="A12" t="s">
        <v>33</v>
      </c>
      <c r="B12" t="s">
        <v>34</v>
      </c>
      <c r="C12" t="s">
        <v>8</v>
      </c>
      <c r="D12">
        <v>26</v>
      </c>
      <c r="E12" t="s">
        <v>21</v>
      </c>
      <c r="F12" s="1">
        <v>46055</v>
      </c>
    </row>
    <row r="13" spans="1:6" x14ac:dyDescent="0.3">
      <c r="A13" t="s">
        <v>35</v>
      </c>
      <c r="B13" t="s">
        <v>36</v>
      </c>
      <c r="C13" t="s">
        <v>12</v>
      </c>
      <c r="D13">
        <v>24</v>
      </c>
      <c r="E13" t="s">
        <v>9</v>
      </c>
      <c r="F13" s="1">
        <v>46058</v>
      </c>
    </row>
    <row r="14" spans="1:6" x14ac:dyDescent="0.3">
      <c r="A14" t="s">
        <v>37</v>
      </c>
      <c r="B14" t="s">
        <v>38</v>
      </c>
      <c r="C14" t="s">
        <v>8</v>
      </c>
      <c r="D14">
        <v>22</v>
      </c>
      <c r="E14" t="s">
        <v>16</v>
      </c>
      <c r="F14" s="1">
        <v>46061</v>
      </c>
    </row>
    <row r="15" spans="1:6" x14ac:dyDescent="0.3">
      <c r="A15" t="s">
        <v>39</v>
      </c>
      <c r="B15" t="s">
        <v>40</v>
      </c>
      <c r="C15" t="s">
        <v>12</v>
      </c>
      <c r="D15">
        <v>21</v>
      </c>
      <c r="E15" t="s">
        <v>30</v>
      </c>
      <c r="F15" s="1">
        <v>46063</v>
      </c>
    </row>
    <row r="16" spans="1:6" x14ac:dyDescent="0.3">
      <c r="A16" t="s">
        <v>41</v>
      </c>
      <c r="B16" t="s">
        <v>42</v>
      </c>
      <c r="C16" t="s">
        <v>8</v>
      </c>
      <c r="D16">
        <v>23</v>
      </c>
      <c r="E16" t="s">
        <v>13</v>
      </c>
      <c r="F16" s="1">
        <v>46066</v>
      </c>
    </row>
    <row r="17" spans="1:6" x14ac:dyDescent="0.3">
      <c r="A17" t="s">
        <v>43</v>
      </c>
      <c r="B17" t="s">
        <v>44</v>
      </c>
      <c r="C17" t="s">
        <v>12</v>
      </c>
      <c r="D17">
        <v>25</v>
      </c>
      <c r="E17" t="s">
        <v>9</v>
      </c>
      <c r="F17" s="1">
        <v>46069</v>
      </c>
    </row>
    <row r="18" spans="1:6" x14ac:dyDescent="0.3">
      <c r="A18" t="s">
        <v>45</v>
      </c>
      <c r="B18" t="s">
        <v>46</v>
      </c>
      <c r="C18" t="s">
        <v>8</v>
      </c>
      <c r="D18">
        <v>24</v>
      </c>
      <c r="E18" t="s">
        <v>21</v>
      </c>
      <c r="F18" s="1">
        <v>46071</v>
      </c>
    </row>
    <row r="19" spans="1:6" x14ac:dyDescent="0.3">
      <c r="A19" t="s">
        <v>47</v>
      </c>
      <c r="B19" t="s">
        <v>48</v>
      </c>
      <c r="C19" t="s">
        <v>12</v>
      </c>
      <c r="D19">
        <v>22</v>
      </c>
      <c r="E19" t="s">
        <v>16</v>
      </c>
      <c r="F19" s="1">
        <v>46073</v>
      </c>
    </row>
    <row r="20" spans="1:6" x14ac:dyDescent="0.3">
      <c r="A20" t="s">
        <v>49</v>
      </c>
      <c r="B20" t="s">
        <v>50</v>
      </c>
      <c r="C20" t="s">
        <v>8</v>
      </c>
      <c r="D20">
        <v>27</v>
      </c>
      <c r="E20" t="s">
        <v>30</v>
      </c>
      <c r="F20" s="1">
        <v>46076</v>
      </c>
    </row>
    <row r="21" spans="1:6" x14ac:dyDescent="0.3">
      <c r="A21" t="s">
        <v>51</v>
      </c>
      <c r="B21" t="s">
        <v>52</v>
      </c>
      <c r="C21" t="s">
        <v>12</v>
      </c>
      <c r="D21">
        <v>21</v>
      </c>
      <c r="E21" t="s">
        <v>13</v>
      </c>
      <c r="F21" s="1">
        <v>46078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sqref="A1:E9"/>
    </sheetView>
  </sheetViews>
  <sheetFormatPr defaultRowHeight="14.4" x14ac:dyDescent="0.3"/>
  <sheetData>
    <row r="1" spans="1:5" x14ac:dyDescent="0.3">
      <c r="A1" t="s">
        <v>53</v>
      </c>
      <c r="B1" t="s">
        <v>54</v>
      </c>
      <c r="C1" t="s">
        <v>55</v>
      </c>
      <c r="D1" t="s">
        <v>56</v>
      </c>
      <c r="E1" t="s">
        <v>57</v>
      </c>
    </row>
    <row r="2" spans="1:5" x14ac:dyDescent="0.3">
      <c r="A2" t="s">
        <v>58</v>
      </c>
      <c r="B2" t="s">
        <v>59</v>
      </c>
      <c r="C2" t="s">
        <v>60</v>
      </c>
      <c r="D2" t="s">
        <v>61</v>
      </c>
      <c r="E2">
        <v>8</v>
      </c>
    </row>
    <row r="3" spans="1:5" x14ac:dyDescent="0.3">
      <c r="A3" t="s">
        <v>62</v>
      </c>
      <c r="B3" t="s">
        <v>63</v>
      </c>
      <c r="C3" t="s">
        <v>64</v>
      </c>
      <c r="D3" t="s">
        <v>65</v>
      </c>
      <c r="E3">
        <v>6</v>
      </c>
    </row>
    <row r="4" spans="1:5" x14ac:dyDescent="0.3">
      <c r="A4" t="s">
        <v>66</v>
      </c>
      <c r="B4" t="s">
        <v>67</v>
      </c>
      <c r="C4" t="s">
        <v>68</v>
      </c>
      <c r="D4" t="s">
        <v>69</v>
      </c>
      <c r="E4">
        <v>7</v>
      </c>
    </row>
    <row r="5" spans="1:5" x14ac:dyDescent="0.3">
      <c r="A5" t="s">
        <v>70</v>
      </c>
      <c r="B5" t="s">
        <v>71</v>
      </c>
      <c r="C5" t="s">
        <v>72</v>
      </c>
      <c r="D5" t="s">
        <v>73</v>
      </c>
      <c r="E5">
        <v>8</v>
      </c>
    </row>
    <row r="6" spans="1:5" x14ac:dyDescent="0.3">
      <c r="A6" t="s">
        <v>74</v>
      </c>
      <c r="B6" t="s">
        <v>75</v>
      </c>
      <c r="C6" t="s">
        <v>64</v>
      </c>
      <c r="D6" t="s">
        <v>76</v>
      </c>
      <c r="E6">
        <v>5</v>
      </c>
    </row>
    <row r="7" spans="1:5" x14ac:dyDescent="0.3">
      <c r="A7" t="s">
        <v>77</v>
      </c>
      <c r="B7" t="s">
        <v>78</v>
      </c>
      <c r="C7" t="s">
        <v>60</v>
      </c>
      <c r="D7" t="s">
        <v>79</v>
      </c>
      <c r="E7">
        <v>10</v>
      </c>
    </row>
    <row r="8" spans="1:5" x14ac:dyDescent="0.3">
      <c r="A8" t="s">
        <v>80</v>
      </c>
      <c r="B8" t="s">
        <v>81</v>
      </c>
      <c r="C8" t="s">
        <v>68</v>
      </c>
      <c r="D8" t="s">
        <v>34</v>
      </c>
      <c r="E8">
        <v>7</v>
      </c>
    </row>
    <row r="9" spans="1:5" x14ac:dyDescent="0.3">
      <c r="A9" t="s">
        <v>82</v>
      </c>
      <c r="B9" t="s">
        <v>83</v>
      </c>
      <c r="C9" t="s">
        <v>72</v>
      </c>
      <c r="D9" t="s">
        <v>32</v>
      </c>
      <c r="E9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M10" sqref="M10"/>
    </sheetView>
  </sheetViews>
  <sheetFormatPr defaultRowHeight="14.4" x14ac:dyDescent="0.3"/>
  <cols>
    <col min="1" max="1" width="12.5546875" bestFit="1" customWidth="1"/>
    <col min="2" max="2" width="21" bestFit="1" customWidth="1"/>
  </cols>
  <sheetData>
    <row r="3" spans="1:2" x14ac:dyDescent="0.3">
      <c r="A3" s="4" t="s">
        <v>180</v>
      </c>
      <c r="B3" t="s">
        <v>183</v>
      </c>
    </row>
    <row r="4" spans="1:2" x14ac:dyDescent="0.3">
      <c r="A4" s="5" t="s">
        <v>88</v>
      </c>
      <c r="B4" s="3">
        <v>30</v>
      </c>
    </row>
    <row r="5" spans="1:2" x14ac:dyDescent="0.3">
      <c r="A5" s="5" t="s">
        <v>98</v>
      </c>
      <c r="B5" s="3">
        <v>10</v>
      </c>
    </row>
    <row r="6" spans="1:2" x14ac:dyDescent="0.3">
      <c r="A6" s="5" t="s">
        <v>181</v>
      </c>
      <c r="B6" s="3">
        <v>40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sqref="A1:F41"/>
    </sheetView>
  </sheetViews>
  <sheetFormatPr defaultRowHeight="14.4" x14ac:dyDescent="0.3"/>
  <sheetData>
    <row r="1" spans="1:6" x14ac:dyDescent="0.3">
      <c r="A1" t="s">
        <v>84</v>
      </c>
      <c r="B1" t="s">
        <v>0</v>
      </c>
      <c r="C1" t="s">
        <v>53</v>
      </c>
      <c r="D1" t="s">
        <v>5</v>
      </c>
      <c r="E1" t="s">
        <v>85</v>
      </c>
      <c r="F1" t="s">
        <v>86</v>
      </c>
    </row>
    <row r="2" spans="1:6" x14ac:dyDescent="0.3">
      <c r="A2" t="s">
        <v>87</v>
      </c>
      <c r="B2" t="s">
        <v>6</v>
      </c>
      <c r="C2" t="s">
        <v>58</v>
      </c>
      <c r="D2" s="1">
        <v>46027</v>
      </c>
      <c r="E2" t="s">
        <v>88</v>
      </c>
      <c r="F2">
        <v>91</v>
      </c>
    </row>
    <row r="3" spans="1:6" x14ac:dyDescent="0.3">
      <c r="A3" t="s">
        <v>89</v>
      </c>
      <c r="B3" t="s">
        <v>6</v>
      </c>
      <c r="C3" t="s">
        <v>70</v>
      </c>
      <c r="D3" s="1">
        <v>46028</v>
      </c>
      <c r="E3" t="s">
        <v>88</v>
      </c>
      <c r="F3">
        <v>85</v>
      </c>
    </row>
    <row r="4" spans="1:6" x14ac:dyDescent="0.3">
      <c r="A4" t="s">
        <v>90</v>
      </c>
      <c r="B4" t="s">
        <v>10</v>
      </c>
      <c r="C4" t="s">
        <v>62</v>
      </c>
      <c r="D4" s="1">
        <v>46030</v>
      </c>
      <c r="E4" t="s">
        <v>88</v>
      </c>
      <c r="F4">
        <v>96</v>
      </c>
    </row>
    <row r="5" spans="1:6" x14ac:dyDescent="0.3">
      <c r="A5" t="s">
        <v>91</v>
      </c>
      <c r="B5" t="s">
        <v>10</v>
      </c>
      <c r="C5" t="s">
        <v>74</v>
      </c>
      <c r="D5" s="1">
        <v>46031</v>
      </c>
      <c r="E5" t="s">
        <v>88</v>
      </c>
      <c r="F5">
        <v>91</v>
      </c>
    </row>
    <row r="6" spans="1:6" x14ac:dyDescent="0.3">
      <c r="A6" t="s">
        <v>92</v>
      </c>
      <c r="B6" t="s">
        <v>14</v>
      </c>
      <c r="C6" t="s">
        <v>66</v>
      </c>
      <c r="D6" s="1">
        <v>46032</v>
      </c>
      <c r="E6" t="s">
        <v>88</v>
      </c>
      <c r="F6">
        <v>82</v>
      </c>
    </row>
    <row r="7" spans="1:6" x14ac:dyDescent="0.3">
      <c r="A7" t="s">
        <v>93</v>
      </c>
      <c r="B7" t="s">
        <v>14</v>
      </c>
      <c r="C7" t="s">
        <v>80</v>
      </c>
      <c r="D7" s="1">
        <v>46033</v>
      </c>
      <c r="E7" t="s">
        <v>88</v>
      </c>
      <c r="F7">
        <v>88</v>
      </c>
    </row>
    <row r="8" spans="1:6" x14ac:dyDescent="0.3">
      <c r="A8" t="s">
        <v>94</v>
      </c>
      <c r="B8" t="s">
        <v>17</v>
      </c>
      <c r="C8" t="s">
        <v>70</v>
      </c>
      <c r="D8" s="1">
        <v>46034</v>
      </c>
      <c r="E8" t="s">
        <v>88</v>
      </c>
      <c r="F8">
        <v>94</v>
      </c>
    </row>
    <row r="9" spans="1:6" x14ac:dyDescent="0.3">
      <c r="A9" t="s">
        <v>95</v>
      </c>
      <c r="B9" t="s">
        <v>17</v>
      </c>
      <c r="C9" t="s">
        <v>62</v>
      </c>
      <c r="D9" s="1">
        <v>46035</v>
      </c>
      <c r="E9" t="s">
        <v>88</v>
      </c>
      <c r="F9">
        <v>82</v>
      </c>
    </row>
    <row r="10" spans="1:6" x14ac:dyDescent="0.3">
      <c r="A10" t="s">
        <v>96</v>
      </c>
      <c r="B10" t="s">
        <v>19</v>
      </c>
      <c r="C10" t="s">
        <v>58</v>
      </c>
      <c r="D10" s="1">
        <v>46037</v>
      </c>
      <c r="E10" t="s">
        <v>88</v>
      </c>
      <c r="F10">
        <v>92</v>
      </c>
    </row>
    <row r="11" spans="1:6" x14ac:dyDescent="0.3">
      <c r="A11" t="s">
        <v>97</v>
      </c>
      <c r="B11" t="s">
        <v>19</v>
      </c>
      <c r="C11" t="s">
        <v>77</v>
      </c>
      <c r="D11" s="1">
        <v>46038</v>
      </c>
      <c r="E11" t="s">
        <v>98</v>
      </c>
      <c r="F11">
        <v>79</v>
      </c>
    </row>
    <row r="12" spans="1:6" x14ac:dyDescent="0.3">
      <c r="A12" t="s">
        <v>99</v>
      </c>
      <c r="B12" t="s">
        <v>22</v>
      </c>
      <c r="C12" t="s">
        <v>62</v>
      </c>
      <c r="D12" s="1">
        <v>46040</v>
      </c>
      <c r="E12" t="s">
        <v>88</v>
      </c>
      <c r="F12">
        <v>97</v>
      </c>
    </row>
    <row r="13" spans="1:6" x14ac:dyDescent="0.3">
      <c r="A13" t="s">
        <v>100</v>
      </c>
      <c r="B13" t="s">
        <v>22</v>
      </c>
      <c r="C13" t="s">
        <v>82</v>
      </c>
      <c r="D13" s="1">
        <v>46041</v>
      </c>
      <c r="E13" t="s">
        <v>88</v>
      </c>
      <c r="F13">
        <v>93</v>
      </c>
    </row>
    <row r="14" spans="1:6" x14ac:dyDescent="0.3">
      <c r="A14" t="s">
        <v>101</v>
      </c>
      <c r="B14" t="s">
        <v>24</v>
      </c>
      <c r="C14" t="s">
        <v>66</v>
      </c>
      <c r="D14" s="1">
        <v>46042</v>
      </c>
      <c r="E14" t="s">
        <v>88</v>
      </c>
      <c r="F14">
        <v>89</v>
      </c>
    </row>
    <row r="15" spans="1:6" x14ac:dyDescent="0.3">
      <c r="A15" t="s">
        <v>102</v>
      </c>
      <c r="B15" t="s">
        <v>24</v>
      </c>
      <c r="C15" t="s">
        <v>80</v>
      </c>
      <c r="D15" s="1">
        <v>46043</v>
      </c>
      <c r="E15" t="s">
        <v>88</v>
      </c>
      <c r="F15">
        <v>84</v>
      </c>
    </row>
    <row r="16" spans="1:6" x14ac:dyDescent="0.3">
      <c r="A16" t="s">
        <v>103</v>
      </c>
      <c r="B16" t="s">
        <v>26</v>
      </c>
      <c r="C16" t="s">
        <v>70</v>
      </c>
      <c r="D16" s="1">
        <v>46044</v>
      </c>
      <c r="E16" t="s">
        <v>88</v>
      </c>
      <c r="F16">
        <v>95</v>
      </c>
    </row>
    <row r="17" spans="1:6" x14ac:dyDescent="0.3">
      <c r="A17" t="s">
        <v>104</v>
      </c>
      <c r="B17" t="s">
        <v>26</v>
      </c>
      <c r="C17" t="s">
        <v>74</v>
      </c>
      <c r="D17" s="1">
        <v>46045</v>
      </c>
      <c r="E17" t="s">
        <v>88</v>
      </c>
      <c r="F17">
        <v>94</v>
      </c>
    </row>
    <row r="18" spans="1:6" x14ac:dyDescent="0.3">
      <c r="A18" t="s">
        <v>105</v>
      </c>
      <c r="B18" t="s">
        <v>28</v>
      </c>
      <c r="C18" t="s">
        <v>77</v>
      </c>
      <c r="D18" s="1">
        <v>46047</v>
      </c>
      <c r="E18" t="s">
        <v>98</v>
      </c>
      <c r="F18">
        <v>77</v>
      </c>
    </row>
    <row r="19" spans="1:6" x14ac:dyDescent="0.3">
      <c r="A19" t="s">
        <v>106</v>
      </c>
      <c r="B19" t="s">
        <v>28</v>
      </c>
      <c r="C19" t="s">
        <v>58</v>
      </c>
      <c r="D19" s="1">
        <v>46048</v>
      </c>
      <c r="E19" t="s">
        <v>98</v>
      </c>
      <c r="F19">
        <v>86</v>
      </c>
    </row>
    <row r="20" spans="1:6" x14ac:dyDescent="0.3">
      <c r="A20" t="s">
        <v>107</v>
      </c>
      <c r="B20" t="s">
        <v>31</v>
      </c>
      <c r="C20" t="s">
        <v>82</v>
      </c>
      <c r="D20" s="1">
        <v>46050</v>
      </c>
      <c r="E20" t="s">
        <v>88</v>
      </c>
      <c r="F20">
        <v>93</v>
      </c>
    </row>
    <row r="21" spans="1:6" x14ac:dyDescent="0.3">
      <c r="A21" t="s">
        <v>108</v>
      </c>
      <c r="B21" t="s">
        <v>31</v>
      </c>
      <c r="C21" t="s">
        <v>74</v>
      </c>
      <c r="D21" s="1">
        <v>46051</v>
      </c>
      <c r="E21" t="s">
        <v>98</v>
      </c>
      <c r="F21">
        <v>81</v>
      </c>
    </row>
    <row r="22" spans="1:6" x14ac:dyDescent="0.3">
      <c r="A22" t="s">
        <v>109</v>
      </c>
      <c r="B22" t="s">
        <v>33</v>
      </c>
      <c r="C22" t="s">
        <v>66</v>
      </c>
      <c r="D22" s="1">
        <v>46055</v>
      </c>
      <c r="E22" t="s">
        <v>88</v>
      </c>
      <c r="F22">
        <v>93</v>
      </c>
    </row>
    <row r="23" spans="1:6" x14ac:dyDescent="0.3">
      <c r="A23" t="s">
        <v>110</v>
      </c>
      <c r="B23" t="s">
        <v>33</v>
      </c>
      <c r="C23" t="s">
        <v>80</v>
      </c>
      <c r="D23" s="1">
        <v>46056</v>
      </c>
      <c r="E23" t="s">
        <v>88</v>
      </c>
      <c r="F23">
        <v>95</v>
      </c>
    </row>
    <row r="24" spans="1:6" x14ac:dyDescent="0.3">
      <c r="A24" t="s">
        <v>111</v>
      </c>
      <c r="B24" t="s">
        <v>35</v>
      </c>
      <c r="C24" t="s">
        <v>62</v>
      </c>
      <c r="D24" s="1">
        <v>46058</v>
      </c>
      <c r="E24" t="s">
        <v>88</v>
      </c>
      <c r="F24">
        <v>85</v>
      </c>
    </row>
    <row r="25" spans="1:6" x14ac:dyDescent="0.3">
      <c r="A25" t="s">
        <v>112</v>
      </c>
      <c r="B25" t="s">
        <v>35</v>
      </c>
      <c r="C25" t="s">
        <v>70</v>
      </c>
      <c r="D25" s="1">
        <v>46059</v>
      </c>
      <c r="E25" t="s">
        <v>88</v>
      </c>
      <c r="F25">
        <v>90</v>
      </c>
    </row>
    <row r="26" spans="1:6" x14ac:dyDescent="0.3">
      <c r="A26" t="s">
        <v>113</v>
      </c>
      <c r="B26" t="s">
        <v>37</v>
      </c>
      <c r="C26" t="s">
        <v>58</v>
      </c>
      <c r="D26" s="1">
        <v>46061</v>
      </c>
      <c r="E26" t="s">
        <v>88</v>
      </c>
      <c r="F26">
        <v>94</v>
      </c>
    </row>
    <row r="27" spans="1:6" x14ac:dyDescent="0.3">
      <c r="A27" t="s">
        <v>114</v>
      </c>
      <c r="B27" t="s">
        <v>37</v>
      </c>
      <c r="C27" t="s">
        <v>66</v>
      </c>
      <c r="D27" s="1">
        <v>46062</v>
      </c>
      <c r="E27" t="s">
        <v>88</v>
      </c>
      <c r="F27">
        <v>80</v>
      </c>
    </row>
    <row r="28" spans="1:6" x14ac:dyDescent="0.3">
      <c r="A28" t="s">
        <v>115</v>
      </c>
      <c r="B28" t="s">
        <v>39</v>
      </c>
      <c r="C28" t="s">
        <v>74</v>
      </c>
      <c r="D28" s="1">
        <v>46063</v>
      </c>
      <c r="E28" t="s">
        <v>88</v>
      </c>
      <c r="F28">
        <v>96</v>
      </c>
    </row>
    <row r="29" spans="1:6" x14ac:dyDescent="0.3">
      <c r="A29" t="s">
        <v>116</v>
      </c>
      <c r="B29" t="s">
        <v>39</v>
      </c>
      <c r="C29" t="s">
        <v>82</v>
      </c>
      <c r="D29" s="1">
        <v>46064</v>
      </c>
      <c r="E29" t="s">
        <v>88</v>
      </c>
      <c r="F29">
        <v>91</v>
      </c>
    </row>
    <row r="30" spans="1:6" x14ac:dyDescent="0.3">
      <c r="A30" t="s">
        <v>117</v>
      </c>
      <c r="B30" t="s">
        <v>41</v>
      </c>
      <c r="C30" t="s">
        <v>70</v>
      </c>
      <c r="D30" s="1">
        <v>46066</v>
      </c>
      <c r="E30" t="s">
        <v>98</v>
      </c>
      <c r="F30">
        <v>84</v>
      </c>
    </row>
    <row r="31" spans="1:6" x14ac:dyDescent="0.3">
      <c r="A31" t="s">
        <v>118</v>
      </c>
      <c r="B31" t="s">
        <v>41</v>
      </c>
      <c r="C31" t="s">
        <v>62</v>
      </c>
      <c r="D31" s="1">
        <v>46067</v>
      </c>
      <c r="E31" t="s">
        <v>88</v>
      </c>
      <c r="F31">
        <v>97</v>
      </c>
    </row>
    <row r="32" spans="1:6" x14ac:dyDescent="0.3">
      <c r="A32" t="s">
        <v>119</v>
      </c>
      <c r="B32" t="s">
        <v>43</v>
      </c>
      <c r="C32" t="s">
        <v>82</v>
      </c>
      <c r="D32" s="1">
        <v>46069</v>
      </c>
      <c r="E32" t="s">
        <v>88</v>
      </c>
      <c r="F32">
        <v>90</v>
      </c>
    </row>
    <row r="33" spans="1:6" x14ac:dyDescent="0.3">
      <c r="A33" t="s">
        <v>120</v>
      </c>
      <c r="B33" t="s">
        <v>43</v>
      </c>
      <c r="C33" t="s">
        <v>74</v>
      </c>
      <c r="D33" s="1">
        <v>46070</v>
      </c>
      <c r="E33" t="s">
        <v>98</v>
      </c>
      <c r="F33">
        <v>82</v>
      </c>
    </row>
    <row r="34" spans="1:6" x14ac:dyDescent="0.3">
      <c r="A34" t="s">
        <v>121</v>
      </c>
      <c r="B34" t="s">
        <v>45</v>
      </c>
      <c r="C34" t="s">
        <v>77</v>
      </c>
      <c r="D34" s="1">
        <v>46071</v>
      </c>
      <c r="E34" t="s">
        <v>98</v>
      </c>
      <c r="F34">
        <v>92</v>
      </c>
    </row>
    <row r="35" spans="1:6" x14ac:dyDescent="0.3">
      <c r="A35" t="s">
        <v>122</v>
      </c>
      <c r="B35" t="s">
        <v>45</v>
      </c>
      <c r="C35" t="s">
        <v>58</v>
      </c>
      <c r="D35" s="1">
        <v>46072</v>
      </c>
      <c r="E35" t="s">
        <v>98</v>
      </c>
      <c r="F35">
        <v>87</v>
      </c>
    </row>
    <row r="36" spans="1:6" x14ac:dyDescent="0.3">
      <c r="A36" t="s">
        <v>123</v>
      </c>
      <c r="B36" t="s">
        <v>47</v>
      </c>
      <c r="C36" t="s">
        <v>62</v>
      </c>
      <c r="D36" s="1">
        <v>46073</v>
      </c>
      <c r="E36" t="s">
        <v>88</v>
      </c>
      <c r="F36">
        <v>95</v>
      </c>
    </row>
    <row r="37" spans="1:6" x14ac:dyDescent="0.3">
      <c r="A37" t="s">
        <v>124</v>
      </c>
      <c r="B37" t="s">
        <v>47</v>
      </c>
      <c r="C37" t="s">
        <v>82</v>
      </c>
      <c r="D37" s="1">
        <v>46074</v>
      </c>
      <c r="E37" t="s">
        <v>98</v>
      </c>
      <c r="F37">
        <v>83</v>
      </c>
    </row>
    <row r="38" spans="1:6" x14ac:dyDescent="0.3">
      <c r="A38" t="s">
        <v>125</v>
      </c>
      <c r="B38" t="s">
        <v>49</v>
      </c>
      <c r="C38" t="s">
        <v>66</v>
      </c>
      <c r="D38" s="1">
        <v>46076</v>
      </c>
      <c r="E38" t="s">
        <v>88</v>
      </c>
      <c r="F38">
        <v>90</v>
      </c>
    </row>
    <row r="39" spans="1:6" x14ac:dyDescent="0.3">
      <c r="A39" t="s">
        <v>126</v>
      </c>
      <c r="B39" t="s">
        <v>49</v>
      </c>
      <c r="C39" t="s">
        <v>80</v>
      </c>
      <c r="D39" s="1">
        <v>46077</v>
      </c>
      <c r="E39" t="s">
        <v>98</v>
      </c>
      <c r="F39">
        <v>85</v>
      </c>
    </row>
    <row r="40" spans="1:6" x14ac:dyDescent="0.3">
      <c r="A40" t="s">
        <v>127</v>
      </c>
      <c r="B40" t="s">
        <v>51</v>
      </c>
      <c r="C40" t="s">
        <v>70</v>
      </c>
      <c r="D40" s="1">
        <v>46078</v>
      </c>
      <c r="E40" t="s">
        <v>88</v>
      </c>
      <c r="F40">
        <v>93</v>
      </c>
    </row>
    <row r="41" spans="1:6" x14ac:dyDescent="0.3">
      <c r="A41" t="s">
        <v>128</v>
      </c>
      <c r="B41" t="s">
        <v>51</v>
      </c>
      <c r="C41" t="s">
        <v>74</v>
      </c>
      <c r="D41" s="1">
        <v>46079</v>
      </c>
      <c r="E41" t="s">
        <v>88</v>
      </c>
      <c r="F41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topLeftCell="A10" workbookViewId="0">
      <selection activeCell="D39" sqref="D39"/>
    </sheetView>
  </sheetViews>
  <sheetFormatPr defaultRowHeight="14.4" x14ac:dyDescent="0.3"/>
  <cols>
    <col min="1" max="1" width="12.5546875" customWidth="1"/>
    <col min="2" max="2" width="20.33203125" bestFit="1" customWidth="1"/>
  </cols>
  <sheetData>
    <row r="3" spans="1:2" x14ac:dyDescent="0.3">
      <c r="A3" s="4" t="s">
        <v>180</v>
      </c>
      <c r="B3" s="6" t="s">
        <v>182</v>
      </c>
    </row>
    <row r="4" spans="1:2" x14ac:dyDescent="0.3">
      <c r="A4" s="5" t="s">
        <v>58</v>
      </c>
      <c r="B4" s="6">
        <v>90</v>
      </c>
    </row>
    <row r="5" spans="1:2" x14ac:dyDescent="0.3">
      <c r="A5" s="5" t="s">
        <v>62</v>
      </c>
      <c r="B5" s="6">
        <v>92</v>
      </c>
    </row>
    <row r="6" spans="1:2" x14ac:dyDescent="0.3">
      <c r="A6" s="5" t="s">
        <v>66</v>
      </c>
      <c r="B6" s="6">
        <v>86.8</v>
      </c>
    </row>
    <row r="7" spans="1:2" x14ac:dyDescent="0.3">
      <c r="A7" s="5" t="s">
        <v>70</v>
      </c>
      <c r="B7" s="6">
        <v>90.166666666666671</v>
      </c>
    </row>
    <row r="8" spans="1:2" x14ac:dyDescent="0.3">
      <c r="A8" s="5" t="s">
        <v>74</v>
      </c>
      <c r="B8" s="6">
        <v>88.666666666666671</v>
      </c>
    </row>
    <row r="9" spans="1:2" x14ac:dyDescent="0.3">
      <c r="A9" s="5" t="s">
        <v>77</v>
      </c>
      <c r="B9" s="6">
        <v>82.666666666666671</v>
      </c>
    </row>
    <row r="10" spans="1:2" x14ac:dyDescent="0.3">
      <c r="A10" s="5" t="s">
        <v>80</v>
      </c>
      <c r="B10" s="6">
        <v>88</v>
      </c>
    </row>
    <row r="11" spans="1:2" x14ac:dyDescent="0.3">
      <c r="A11" s="5" t="s">
        <v>82</v>
      </c>
      <c r="B11" s="6">
        <v>90</v>
      </c>
    </row>
    <row r="12" spans="1:2" x14ac:dyDescent="0.3">
      <c r="A12" s="5" t="s">
        <v>181</v>
      </c>
      <c r="B12" s="6">
        <v>88.974999999999994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topLeftCell="A10" workbookViewId="0">
      <selection activeCell="B28" sqref="B28"/>
    </sheetView>
  </sheetViews>
  <sheetFormatPr defaultRowHeight="14.4" x14ac:dyDescent="0.3"/>
  <cols>
    <col min="1" max="1" width="12.5546875" bestFit="1" customWidth="1"/>
    <col min="2" max="2" width="25.5546875" bestFit="1" customWidth="1"/>
  </cols>
  <sheetData>
    <row r="3" spans="1:2" x14ac:dyDescent="0.3">
      <c r="A3" s="4" t="s">
        <v>180</v>
      </c>
      <c r="B3" t="s">
        <v>184</v>
      </c>
    </row>
    <row r="4" spans="1:2" x14ac:dyDescent="0.3">
      <c r="A4" s="5" t="s">
        <v>58</v>
      </c>
      <c r="B4" s="6">
        <v>92</v>
      </c>
    </row>
    <row r="5" spans="1:2" x14ac:dyDescent="0.3">
      <c r="A5" s="5" t="s">
        <v>62</v>
      </c>
      <c r="B5" s="6">
        <v>93.333333333333329</v>
      </c>
    </row>
    <row r="6" spans="1:2" x14ac:dyDescent="0.3">
      <c r="A6" s="5" t="s">
        <v>66</v>
      </c>
      <c r="B6" s="6">
        <v>88.8</v>
      </c>
    </row>
    <row r="7" spans="1:2" x14ac:dyDescent="0.3">
      <c r="A7" s="5" t="s">
        <v>70</v>
      </c>
      <c r="B7" s="6">
        <v>92.333333333333329</v>
      </c>
    </row>
    <row r="8" spans="1:2" x14ac:dyDescent="0.3">
      <c r="A8" s="5" t="s">
        <v>74</v>
      </c>
      <c r="B8" s="6">
        <v>90.166666666666671</v>
      </c>
    </row>
    <row r="9" spans="1:2" x14ac:dyDescent="0.3">
      <c r="A9" s="5" t="s">
        <v>77</v>
      </c>
      <c r="B9" s="6">
        <v>84.666666666666671</v>
      </c>
    </row>
    <row r="10" spans="1:2" x14ac:dyDescent="0.3">
      <c r="A10" s="5" t="s">
        <v>80</v>
      </c>
      <c r="B10" s="6">
        <v>89.75</v>
      </c>
    </row>
    <row r="11" spans="1:2" x14ac:dyDescent="0.3">
      <c r="A11" s="5" t="s">
        <v>82</v>
      </c>
      <c r="B11" s="6">
        <v>91.8</v>
      </c>
    </row>
    <row r="12" spans="1:2" x14ac:dyDescent="0.3">
      <c r="A12" s="5" t="s">
        <v>181</v>
      </c>
      <c r="B12" s="6">
        <v>90.775000000000006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sqref="A1:F41"/>
    </sheetView>
  </sheetViews>
  <sheetFormatPr defaultRowHeight="14.4" x14ac:dyDescent="0.3"/>
  <sheetData>
    <row r="1" spans="1:6" x14ac:dyDescent="0.3">
      <c r="A1" t="s">
        <v>129</v>
      </c>
      <c r="B1" t="s">
        <v>0</v>
      </c>
      <c r="C1" t="s">
        <v>53</v>
      </c>
      <c r="D1" t="s">
        <v>130</v>
      </c>
      <c r="E1" t="s">
        <v>131</v>
      </c>
      <c r="F1" t="s">
        <v>86</v>
      </c>
    </row>
    <row r="2" spans="1:6" x14ac:dyDescent="0.3">
      <c r="A2" t="s">
        <v>132</v>
      </c>
      <c r="B2" t="s">
        <v>6</v>
      </c>
      <c r="C2" t="s">
        <v>58</v>
      </c>
      <c r="D2">
        <v>95</v>
      </c>
      <c r="E2">
        <v>88</v>
      </c>
      <c r="F2">
        <v>91</v>
      </c>
    </row>
    <row r="3" spans="1:6" x14ac:dyDescent="0.3">
      <c r="A3" t="s">
        <v>133</v>
      </c>
      <c r="B3" t="s">
        <v>6</v>
      </c>
      <c r="C3" t="s">
        <v>70</v>
      </c>
      <c r="D3">
        <v>88</v>
      </c>
      <c r="E3">
        <v>82</v>
      </c>
      <c r="F3">
        <v>85</v>
      </c>
    </row>
    <row r="4" spans="1:6" x14ac:dyDescent="0.3">
      <c r="A4" t="s">
        <v>134</v>
      </c>
      <c r="B4" t="s">
        <v>10</v>
      </c>
      <c r="C4" t="s">
        <v>62</v>
      </c>
      <c r="D4">
        <v>97</v>
      </c>
      <c r="E4">
        <v>94</v>
      </c>
      <c r="F4">
        <v>96</v>
      </c>
    </row>
    <row r="5" spans="1:6" x14ac:dyDescent="0.3">
      <c r="A5" t="s">
        <v>135</v>
      </c>
      <c r="B5" t="s">
        <v>10</v>
      </c>
      <c r="C5" t="s">
        <v>74</v>
      </c>
      <c r="D5">
        <v>92</v>
      </c>
      <c r="E5">
        <v>89</v>
      </c>
      <c r="F5">
        <v>91</v>
      </c>
    </row>
    <row r="6" spans="1:6" x14ac:dyDescent="0.3">
      <c r="A6" t="s">
        <v>136</v>
      </c>
      <c r="B6" t="s">
        <v>14</v>
      </c>
      <c r="C6" t="s">
        <v>66</v>
      </c>
      <c r="D6">
        <v>85</v>
      </c>
      <c r="E6">
        <v>78</v>
      </c>
      <c r="F6">
        <v>82</v>
      </c>
    </row>
    <row r="7" spans="1:6" x14ac:dyDescent="0.3">
      <c r="A7" t="s">
        <v>137</v>
      </c>
      <c r="B7" t="s">
        <v>14</v>
      </c>
      <c r="C7" t="s">
        <v>80</v>
      </c>
      <c r="D7">
        <v>90</v>
      </c>
      <c r="E7">
        <v>86</v>
      </c>
      <c r="F7">
        <v>88</v>
      </c>
    </row>
    <row r="8" spans="1:6" x14ac:dyDescent="0.3">
      <c r="A8" t="s">
        <v>138</v>
      </c>
      <c r="B8" t="s">
        <v>17</v>
      </c>
      <c r="C8" t="s">
        <v>70</v>
      </c>
      <c r="D8">
        <v>96</v>
      </c>
      <c r="E8">
        <v>91</v>
      </c>
      <c r="F8">
        <v>94</v>
      </c>
    </row>
    <row r="9" spans="1:6" x14ac:dyDescent="0.3">
      <c r="A9" t="s">
        <v>139</v>
      </c>
      <c r="B9" t="s">
        <v>17</v>
      </c>
      <c r="C9" t="s">
        <v>62</v>
      </c>
      <c r="D9">
        <v>84</v>
      </c>
      <c r="E9">
        <v>80</v>
      </c>
      <c r="F9">
        <v>82</v>
      </c>
    </row>
    <row r="10" spans="1:6" x14ac:dyDescent="0.3">
      <c r="A10" t="s">
        <v>140</v>
      </c>
      <c r="B10" t="s">
        <v>19</v>
      </c>
      <c r="C10" t="s">
        <v>58</v>
      </c>
      <c r="D10">
        <v>93</v>
      </c>
      <c r="E10">
        <v>90</v>
      </c>
      <c r="F10">
        <v>92</v>
      </c>
    </row>
    <row r="11" spans="1:6" x14ac:dyDescent="0.3">
      <c r="A11" t="s">
        <v>141</v>
      </c>
      <c r="B11" t="s">
        <v>19</v>
      </c>
      <c r="C11" t="s">
        <v>77</v>
      </c>
      <c r="D11">
        <v>81</v>
      </c>
      <c r="E11">
        <v>76</v>
      </c>
      <c r="F11">
        <v>79</v>
      </c>
    </row>
    <row r="12" spans="1:6" x14ac:dyDescent="0.3">
      <c r="A12" t="s">
        <v>142</v>
      </c>
      <c r="B12" t="s">
        <v>22</v>
      </c>
      <c r="C12" t="s">
        <v>62</v>
      </c>
      <c r="D12">
        <v>98</v>
      </c>
      <c r="E12">
        <v>95</v>
      </c>
      <c r="F12">
        <v>97</v>
      </c>
    </row>
    <row r="13" spans="1:6" x14ac:dyDescent="0.3">
      <c r="A13" t="s">
        <v>143</v>
      </c>
      <c r="B13" t="s">
        <v>22</v>
      </c>
      <c r="C13" t="s">
        <v>82</v>
      </c>
      <c r="D13">
        <v>94</v>
      </c>
      <c r="E13">
        <v>91</v>
      </c>
      <c r="F13">
        <v>93</v>
      </c>
    </row>
    <row r="14" spans="1:6" x14ac:dyDescent="0.3">
      <c r="A14" t="s">
        <v>144</v>
      </c>
      <c r="B14" t="s">
        <v>24</v>
      </c>
      <c r="C14" t="s">
        <v>66</v>
      </c>
      <c r="D14">
        <v>91</v>
      </c>
      <c r="E14">
        <v>87</v>
      </c>
      <c r="F14">
        <v>89</v>
      </c>
    </row>
    <row r="15" spans="1:6" x14ac:dyDescent="0.3">
      <c r="A15" t="s">
        <v>145</v>
      </c>
      <c r="B15" t="s">
        <v>24</v>
      </c>
      <c r="C15" t="s">
        <v>80</v>
      </c>
      <c r="D15">
        <v>86</v>
      </c>
      <c r="E15">
        <v>81</v>
      </c>
      <c r="F15">
        <v>84</v>
      </c>
    </row>
    <row r="16" spans="1:6" x14ac:dyDescent="0.3">
      <c r="A16" t="s">
        <v>146</v>
      </c>
      <c r="B16" t="s">
        <v>26</v>
      </c>
      <c r="C16" t="s">
        <v>70</v>
      </c>
      <c r="D16">
        <v>97</v>
      </c>
      <c r="E16">
        <v>93</v>
      </c>
      <c r="F16">
        <v>95</v>
      </c>
    </row>
    <row r="17" spans="1:6" x14ac:dyDescent="0.3">
      <c r="A17" t="s">
        <v>147</v>
      </c>
      <c r="B17" t="s">
        <v>26</v>
      </c>
      <c r="C17" t="s">
        <v>74</v>
      </c>
      <c r="D17">
        <v>95</v>
      </c>
      <c r="E17">
        <v>92</v>
      </c>
      <c r="F17">
        <v>94</v>
      </c>
    </row>
    <row r="18" spans="1:6" x14ac:dyDescent="0.3">
      <c r="A18" t="s">
        <v>148</v>
      </c>
      <c r="B18" t="s">
        <v>28</v>
      </c>
      <c r="C18" t="s">
        <v>77</v>
      </c>
      <c r="D18">
        <v>79</v>
      </c>
      <c r="E18">
        <v>74</v>
      </c>
      <c r="F18">
        <v>77</v>
      </c>
    </row>
    <row r="19" spans="1:6" x14ac:dyDescent="0.3">
      <c r="A19" t="s">
        <v>149</v>
      </c>
      <c r="B19" t="s">
        <v>28</v>
      </c>
      <c r="C19" t="s">
        <v>58</v>
      </c>
      <c r="D19">
        <v>88</v>
      </c>
      <c r="E19">
        <v>84</v>
      </c>
      <c r="F19">
        <v>86</v>
      </c>
    </row>
    <row r="20" spans="1:6" x14ac:dyDescent="0.3">
      <c r="A20" t="s">
        <v>150</v>
      </c>
      <c r="B20" t="s">
        <v>31</v>
      </c>
      <c r="C20" t="s">
        <v>82</v>
      </c>
      <c r="D20">
        <v>96</v>
      </c>
      <c r="E20">
        <v>90</v>
      </c>
      <c r="F20">
        <v>93</v>
      </c>
    </row>
    <row r="21" spans="1:6" x14ac:dyDescent="0.3">
      <c r="A21" t="s">
        <v>151</v>
      </c>
      <c r="B21" t="s">
        <v>31</v>
      </c>
      <c r="C21" t="s">
        <v>74</v>
      </c>
      <c r="D21">
        <v>83</v>
      </c>
      <c r="E21">
        <v>79</v>
      </c>
      <c r="F21">
        <v>81</v>
      </c>
    </row>
    <row r="22" spans="1:6" x14ac:dyDescent="0.3">
      <c r="A22" t="s">
        <v>152</v>
      </c>
      <c r="B22" t="s">
        <v>33</v>
      </c>
      <c r="C22" t="s">
        <v>66</v>
      </c>
      <c r="D22">
        <v>94</v>
      </c>
      <c r="E22">
        <v>91</v>
      </c>
      <c r="F22">
        <v>93</v>
      </c>
    </row>
    <row r="23" spans="1:6" x14ac:dyDescent="0.3">
      <c r="A23" t="s">
        <v>153</v>
      </c>
      <c r="B23" t="s">
        <v>33</v>
      </c>
      <c r="C23" t="s">
        <v>80</v>
      </c>
      <c r="D23">
        <v>96</v>
      </c>
      <c r="E23">
        <v>94</v>
      </c>
      <c r="F23">
        <v>95</v>
      </c>
    </row>
    <row r="24" spans="1:6" x14ac:dyDescent="0.3">
      <c r="A24" t="s">
        <v>154</v>
      </c>
      <c r="B24" t="s">
        <v>35</v>
      </c>
      <c r="C24" t="s">
        <v>62</v>
      </c>
      <c r="D24">
        <v>87</v>
      </c>
      <c r="E24">
        <v>83</v>
      </c>
      <c r="F24">
        <v>85</v>
      </c>
    </row>
    <row r="25" spans="1:6" x14ac:dyDescent="0.3">
      <c r="A25" t="s">
        <v>155</v>
      </c>
      <c r="B25" t="s">
        <v>35</v>
      </c>
      <c r="C25" t="s">
        <v>70</v>
      </c>
      <c r="D25">
        <v>92</v>
      </c>
      <c r="E25">
        <v>88</v>
      </c>
      <c r="F25">
        <v>90</v>
      </c>
    </row>
    <row r="26" spans="1:6" x14ac:dyDescent="0.3">
      <c r="A26" t="s">
        <v>156</v>
      </c>
      <c r="B26" t="s">
        <v>37</v>
      </c>
      <c r="C26" t="s">
        <v>58</v>
      </c>
      <c r="D26">
        <v>95</v>
      </c>
      <c r="E26">
        <v>92</v>
      </c>
      <c r="F26">
        <v>94</v>
      </c>
    </row>
    <row r="27" spans="1:6" x14ac:dyDescent="0.3">
      <c r="A27" t="s">
        <v>157</v>
      </c>
      <c r="B27" t="s">
        <v>37</v>
      </c>
      <c r="C27" t="s">
        <v>66</v>
      </c>
      <c r="D27">
        <v>82</v>
      </c>
      <c r="E27">
        <v>78</v>
      </c>
      <c r="F27">
        <v>80</v>
      </c>
    </row>
    <row r="28" spans="1:6" x14ac:dyDescent="0.3">
      <c r="A28" t="s">
        <v>158</v>
      </c>
      <c r="B28" t="s">
        <v>39</v>
      </c>
      <c r="C28" t="s">
        <v>74</v>
      </c>
      <c r="D28">
        <v>97</v>
      </c>
      <c r="E28">
        <v>94</v>
      </c>
      <c r="F28">
        <v>96</v>
      </c>
    </row>
    <row r="29" spans="1:6" x14ac:dyDescent="0.3">
      <c r="A29" t="s">
        <v>159</v>
      </c>
      <c r="B29" t="s">
        <v>39</v>
      </c>
      <c r="C29" t="s">
        <v>82</v>
      </c>
      <c r="D29">
        <v>93</v>
      </c>
      <c r="E29">
        <v>89</v>
      </c>
      <c r="F29">
        <v>91</v>
      </c>
    </row>
    <row r="30" spans="1:6" x14ac:dyDescent="0.3">
      <c r="A30" t="s">
        <v>160</v>
      </c>
      <c r="B30" t="s">
        <v>41</v>
      </c>
      <c r="C30" t="s">
        <v>70</v>
      </c>
      <c r="D30">
        <v>86</v>
      </c>
      <c r="E30">
        <v>82</v>
      </c>
      <c r="F30">
        <v>84</v>
      </c>
    </row>
    <row r="31" spans="1:6" x14ac:dyDescent="0.3">
      <c r="A31" t="s">
        <v>161</v>
      </c>
      <c r="B31" t="s">
        <v>41</v>
      </c>
      <c r="C31" t="s">
        <v>62</v>
      </c>
      <c r="D31">
        <v>98</v>
      </c>
      <c r="E31">
        <v>96</v>
      </c>
      <c r="F31">
        <v>97</v>
      </c>
    </row>
    <row r="32" spans="1:6" x14ac:dyDescent="0.3">
      <c r="A32" t="s">
        <v>162</v>
      </c>
      <c r="B32" t="s">
        <v>43</v>
      </c>
      <c r="C32" t="s">
        <v>82</v>
      </c>
      <c r="D32">
        <v>91</v>
      </c>
      <c r="E32">
        <v>88</v>
      </c>
      <c r="F32">
        <v>90</v>
      </c>
    </row>
    <row r="33" spans="1:6" x14ac:dyDescent="0.3">
      <c r="A33" t="s">
        <v>163</v>
      </c>
      <c r="B33" t="s">
        <v>43</v>
      </c>
      <c r="C33" t="s">
        <v>74</v>
      </c>
      <c r="D33">
        <v>84</v>
      </c>
      <c r="E33">
        <v>80</v>
      </c>
      <c r="F33">
        <v>82</v>
      </c>
    </row>
    <row r="34" spans="1:6" x14ac:dyDescent="0.3">
      <c r="A34" t="s">
        <v>164</v>
      </c>
      <c r="B34" t="s">
        <v>45</v>
      </c>
      <c r="C34" t="s">
        <v>77</v>
      </c>
      <c r="D34">
        <v>94</v>
      </c>
      <c r="E34">
        <v>90</v>
      </c>
      <c r="F34">
        <v>92</v>
      </c>
    </row>
    <row r="35" spans="1:6" x14ac:dyDescent="0.3">
      <c r="A35" t="s">
        <v>165</v>
      </c>
      <c r="B35" t="s">
        <v>45</v>
      </c>
      <c r="C35" t="s">
        <v>58</v>
      </c>
      <c r="D35">
        <v>89</v>
      </c>
      <c r="E35">
        <v>85</v>
      </c>
      <c r="F35">
        <v>87</v>
      </c>
    </row>
    <row r="36" spans="1:6" x14ac:dyDescent="0.3">
      <c r="A36" t="s">
        <v>166</v>
      </c>
      <c r="B36" t="s">
        <v>47</v>
      </c>
      <c r="C36" t="s">
        <v>62</v>
      </c>
      <c r="D36">
        <v>96</v>
      </c>
      <c r="E36">
        <v>93</v>
      </c>
      <c r="F36">
        <v>95</v>
      </c>
    </row>
    <row r="37" spans="1:6" x14ac:dyDescent="0.3">
      <c r="A37" t="s">
        <v>167</v>
      </c>
      <c r="B37" t="s">
        <v>47</v>
      </c>
      <c r="C37" t="s">
        <v>82</v>
      </c>
      <c r="D37">
        <v>85</v>
      </c>
      <c r="E37">
        <v>81</v>
      </c>
      <c r="F37">
        <v>83</v>
      </c>
    </row>
    <row r="38" spans="1:6" x14ac:dyDescent="0.3">
      <c r="A38" t="s">
        <v>168</v>
      </c>
      <c r="B38" t="s">
        <v>49</v>
      </c>
      <c r="C38" t="s">
        <v>66</v>
      </c>
      <c r="D38">
        <v>92</v>
      </c>
      <c r="E38">
        <v>88</v>
      </c>
      <c r="F38">
        <v>90</v>
      </c>
    </row>
    <row r="39" spans="1:6" x14ac:dyDescent="0.3">
      <c r="A39" t="s">
        <v>169</v>
      </c>
      <c r="B39" t="s">
        <v>49</v>
      </c>
      <c r="C39" t="s">
        <v>80</v>
      </c>
      <c r="D39">
        <v>87</v>
      </c>
      <c r="E39">
        <v>83</v>
      </c>
      <c r="F39">
        <v>85</v>
      </c>
    </row>
    <row r="40" spans="1:6" x14ac:dyDescent="0.3">
      <c r="A40" t="s">
        <v>170</v>
      </c>
      <c r="B40" t="s">
        <v>51</v>
      </c>
      <c r="C40" t="s">
        <v>70</v>
      </c>
      <c r="D40">
        <v>95</v>
      </c>
      <c r="E40">
        <v>91</v>
      </c>
      <c r="F40">
        <v>93</v>
      </c>
    </row>
    <row r="41" spans="1:6" x14ac:dyDescent="0.3">
      <c r="A41" t="s">
        <v>171</v>
      </c>
      <c r="B41" t="s">
        <v>51</v>
      </c>
      <c r="C41" t="s">
        <v>74</v>
      </c>
      <c r="D41">
        <v>90</v>
      </c>
      <c r="E41">
        <v>86</v>
      </c>
      <c r="F41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zoomScale="90" zoomScaleNormal="90" workbookViewId="0">
      <selection activeCell="F7" sqref="F7"/>
    </sheetView>
  </sheetViews>
  <sheetFormatPr defaultRowHeight="14.4" x14ac:dyDescent="0.3"/>
  <cols>
    <col min="1" max="1" width="17.21875" customWidth="1"/>
    <col min="2" max="2" width="22.5546875" customWidth="1"/>
  </cols>
  <sheetData>
    <row r="1" spans="1:8" ht="22.8" x14ac:dyDescent="0.4">
      <c r="A1" s="8" t="s">
        <v>185</v>
      </c>
      <c r="B1" s="8"/>
      <c r="C1" s="8"/>
      <c r="D1" s="8"/>
      <c r="E1" s="8"/>
      <c r="F1" s="8"/>
      <c r="G1" s="8"/>
      <c r="H1" s="8"/>
    </row>
    <row r="2" spans="1:8" x14ac:dyDescent="0.3">
      <c r="A2" s="9" t="s">
        <v>172</v>
      </c>
      <c r="B2" s="9" t="s">
        <v>173</v>
      </c>
    </row>
    <row r="3" spans="1:8" x14ac:dyDescent="0.3">
      <c r="A3" s="2" t="s">
        <v>174</v>
      </c>
      <c r="B3" s="2">
        <f>COUNTA(Students!A2:A21)</f>
        <v>20</v>
      </c>
    </row>
    <row r="4" spans="1:8" x14ac:dyDescent="0.3">
      <c r="A4" s="2" t="s">
        <v>175</v>
      </c>
      <c r="B4" s="2">
        <f>COUNTA(Enrollments!A2:A41)</f>
        <v>40</v>
      </c>
    </row>
    <row r="5" spans="1:8" x14ac:dyDescent="0.3">
      <c r="A5" s="2" t="s">
        <v>88</v>
      </c>
      <c r="B5" s="2">
        <f>COUNTIF(Enrollments!E2:E41,"Completed")</f>
        <v>30</v>
      </c>
    </row>
    <row r="6" spans="1:8" x14ac:dyDescent="0.3">
      <c r="A6" s="2" t="s">
        <v>98</v>
      </c>
      <c r="B6" s="2">
        <f>COUNTIF(Enrollments!E2:E41,"In Progress")</f>
        <v>10</v>
      </c>
    </row>
    <row r="7" spans="1:8" x14ac:dyDescent="0.3">
      <c r="A7" s="2" t="s">
        <v>176</v>
      </c>
      <c r="B7" s="10">
        <f>B5/B4</f>
        <v>0.75</v>
      </c>
    </row>
    <row r="8" spans="1:8" x14ac:dyDescent="0.3">
      <c r="A8" s="2" t="s">
        <v>177</v>
      </c>
      <c r="B8" s="11">
        <f>AVERAGE(Performance!F2:F41)</f>
        <v>88.974999999999994</v>
      </c>
    </row>
    <row r="9" spans="1:8" ht="28.8" x14ac:dyDescent="0.3">
      <c r="A9" s="2" t="s">
        <v>178</v>
      </c>
      <c r="B9" s="11">
        <f>AVERAGE(Performance!D2:D41)</f>
        <v>90.775000000000006</v>
      </c>
    </row>
    <row r="10" spans="1:8" ht="28.8" x14ac:dyDescent="0.3">
      <c r="A10" s="2" t="s">
        <v>179</v>
      </c>
      <c r="B10" s="11">
        <f>AVERAGE(Performance!E2:E41)</f>
        <v>86.8</v>
      </c>
    </row>
    <row r="11" spans="1:8" x14ac:dyDescent="0.3">
      <c r="A11" s="7" t="s">
        <v>186</v>
      </c>
      <c r="B11" s="7"/>
      <c r="C11" s="7"/>
      <c r="D11" s="7"/>
      <c r="E11" s="7"/>
      <c r="F11" s="7"/>
      <c r="G11" s="7"/>
      <c r="H11" s="7"/>
    </row>
    <row r="13" spans="1:8" x14ac:dyDescent="0.3">
      <c r="A13" s="7" t="s">
        <v>188</v>
      </c>
      <c r="B13" s="7"/>
      <c r="C13" s="7"/>
      <c r="D13" s="7"/>
      <c r="E13" s="7"/>
      <c r="F13" s="7"/>
      <c r="G13" s="7"/>
      <c r="H13" s="7"/>
    </row>
    <row r="15" spans="1:8" x14ac:dyDescent="0.3">
      <c r="A15" s="7" t="s">
        <v>187</v>
      </c>
      <c r="B15" s="7"/>
      <c r="C15" s="7"/>
      <c r="D15" s="7"/>
      <c r="E15" s="7"/>
      <c r="F15" s="7"/>
      <c r="G15" s="7"/>
      <c r="H15" s="7"/>
    </row>
  </sheetData>
  <mergeCells count="4">
    <mergeCell ref="A1:H1"/>
    <mergeCell ref="A11:H11"/>
    <mergeCell ref="A13:H13"/>
    <mergeCell ref="A15:H15"/>
  </mergeCells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Students</vt:lpstr>
      <vt:lpstr>Courses</vt:lpstr>
      <vt:lpstr>Sheet8</vt:lpstr>
      <vt:lpstr>Enrollments</vt:lpstr>
      <vt:lpstr>Sheet7</vt:lpstr>
      <vt:lpstr>Sheet9</vt:lpstr>
      <vt:lpstr>Performance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2026-08-10T18:41:42Z</dcterms:modified>
</cp:coreProperties>
</file>